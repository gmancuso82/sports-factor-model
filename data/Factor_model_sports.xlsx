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namancuso/Desktop/"/>
    </mc:Choice>
  </mc:AlternateContent>
  <xr:revisionPtr revIDLastSave="0" documentId="8_{F4A9A992-1110-9647-961C-0D036CF297C0}" xr6:coauthVersionLast="47" xr6:coauthVersionMax="47" xr10:uidLastSave="{00000000-0000-0000-0000-000000000000}"/>
  <bookViews>
    <workbookView xWindow="4740" yWindow="1460" windowWidth="32260" windowHeight="17180" xr2:uid="{EBBCA8DA-3261-C443-AD28-92833C7511CC}"/>
  </bookViews>
  <sheets>
    <sheet name="Prices" sheetId="2" r:id="rId1"/>
    <sheet name="Returns" sheetId="3" r:id="rId2"/>
    <sheet name="Summary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H3" i="3"/>
  <c r="G3" i="3"/>
  <c r="F3" i="3"/>
  <c r="E3" i="3"/>
  <c r="D3" i="3"/>
  <c r="C3" i="3"/>
  <c r="B3" i="3"/>
  <c r="E3" i="4" l="1"/>
  <c r="B4" i="4"/>
  <c r="C2" i="4"/>
  <c r="B2" i="4"/>
  <c r="B3" i="4"/>
  <c r="E2" i="4"/>
  <c r="D5" i="4"/>
  <c r="D4" i="4"/>
  <c r="C4" i="4"/>
  <c r="B5" i="4"/>
  <c r="D2" i="4"/>
  <c r="C5" i="4"/>
  <c r="C3" i="4"/>
  <c r="E4" i="4"/>
  <c r="D3" i="4"/>
  <c r="E5" i="4"/>
</calcChain>
</file>

<file path=xl/sharedStrings.xml><?xml version="1.0" encoding="utf-8"?>
<sst xmlns="http://schemas.openxmlformats.org/spreadsheetml/2006/main" count="31" uniqueCount="30">
  <si>
    <t>NKE</t>
  </si>
  <si>
    <t>GRMN</t>
  </si>
  <si>
    <t>PTON</t>
  </si>
  <si>
    <t>PLNT</t>
  </si>
  <si>
    <t>P/E</t>
  </si>
  <si>
    <t>Date</t>
  </si>
  <si>
    <t>NKE: Close</t>
  </si>
  <si>
    <t>PTON: Close</t>
  </si>
  <si>
    <t>PLNT: Close</t>
  </si>
  <si>
    <t>Company</t>
  </si>
  <si>
    <t>BETA vs SPY</t>
  </si>
  <si>
    <t>Beta vs XLY</t>
  </si>
  <si>
    <t>BETA vs QQQ</t>
  </si>
  <si>
    <t>R^2 vs SPY</t>
  </si>
  <si>
    <t>Notes</t>
  </si>
  <si>
    <t>GRMN Return</t>
  </si>
  <si>
    <t>PTON Return</t>
  </si>
  <si>
    <t>PLNT Return</t>
  </si>
  <si>
    <t>NKE Return</t>
  </si>
  <si>
    <t>SPY Return</t>
  </si>
  <si>
    <t>XLY Return</t>
  </si>
  <si>
    <t>QQQ Return</t>
  </si>
  <si>
    <t>Fitness tech, wearables, GPS</t>
  </si>
  <si>
    <t xml:space="preserve">fitness gym, franchise, gym equipment </t>
  </si>
  <si>
    <t>negative P/E historically, between -16.16, -38.17, at home fitness equipment/platform/streaming</t>
  </si>
  <si>
    <t>Athletic footwear, apparel, equipment, services</t>
  </si>
  <si>
    <t>GRMN: Close</t>
  </si>
  <si>
    <t>SPY: Close</t>
  </si>
  <si>
    <t>XLY: Close</t>
  </si>
  <si>
    <t>QQQ: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</si>
</sst>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rgb="FF262626"/>
      <name val="Aptos Narrow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quotePrefix="1" applyNumberFormat="1"/>
    <xf numFmtId="0" fontId="2" fillId="0" borderId="0" xfId="0" applyFont="1"/>
    <xf numFmtId="0" fontId="3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56C4-9C55-904C-891A-18BB4EF43378}">
  <dimension ref="A1:H66"/>
  <sheetViews>
    <sheetView tabSelected="1" zoomScaleNormal="100" workbookViewId="0">
      <selection activeCell="L7" sqref="L7"/>
    </sheetView>
  </sheetViews>
  <sheetFormatPr baseColWidth="10" defaultRowHeight="16" x14ac:dyDescent="0.2"/>
  <cols>
    <col min="3" max="3" width="12" customWidth="1"/>
  </cols>
  <sheetData>
    <row r="1" spans="1:8" x14ac:dyDescent="0.2">
      <c r="A1" s="4" t="s">
        <v>5</v>
      </c>
      <c r="B1" s="4" t="s">
        <v>6</v>
      </c>
      <c r="C1" s="4" t="s">
        <v>26</v>
      </c>
      <c r="D1" s="4" t="s">
        <v>7</v>
      </c>
      <c r="E1" s="4" t="s">
        <v>8</v>
      </c>
      <c r="F1" s="4" t="s">
        <v>27</v>
      </c>
      <c r="G1" s="4" t="s">
        <v>28</v>
      </c>
      <c r="H1" s="4" t="s">
        <v>29</v>
      </c>
    </row>
    <row r="2" spans="1:8" x14ac:dyDescent="0.2">
      <c r="A2" s="5">
        <v>46024</v>
      </c>
      <c r="B2" s="1">
        <v>63.28</v>
      </c>
      <c r="C2" s="1">
        <v>202.44</v>
      </c>
      <c r="D2" s="1">
        <v>6.12</v>
      </c>
      <c r="E2" s="1">
        <v>109.73</v>
      </c>
      <c r="F2" s="1">
        <v>683.17</v>
      </c>
      <c r="G2" s="1">
        <v>118.35</v>
      </c>
      <c r="H2" s="1">
        <v>613.12</v>
      </c>
    </row>
    <row r="3" spans="1:8" x14ac:dyDescent="0.2">
      <c r="A3" s="5">
        <v>46027</v>
      </c>
      <c r="B3" s="1">
        <v>64.53</v>
      </c>
      <c r="C3" s="1">
        <v>203.76</v>
      </c>
      <c r="D3" s="1">
        <v>6.22</v>
      </c>
      <c r="E3" s="1">
        <v>105.38</v>
      </c>
      <c r="F3" s="1">
        <v>687.72</v>
      </c>
      <c r="G3" s="1">
        <v>120.3</v>
      </c>
      <c r="H3" s="1">
        <v>617.99</v>
      </c>
    </row>
    <row r="4" spans="1:8" x14ac:dyDescent="0.2">
      <c r="A4" s="5">
        <v>46028</v>
      </c>
      <c r="B4" s="1">
        <v>65.349999999999994</v>
      </c>
      <c r="C4" s="1">
        <v>209.35</v>
      </c>
      <c r="D4" s="1">
        <v>6.6</v>
      </c>
      <c r="E4" s="1">
        <v>105.53</v>
      </c>
      <c r="F4" s="1">
        <v>691.81</v>
      </c>
      <c r="G4" s="1">
        <v>121.07</v>
      </c>
      <c r="H4" s="1">
        <v>623.41999999999996</v>
      </c>
    </row>
    <row r="5" spans="1:8" x14ac:dyDescent="0.2">
      <c r="A5" s="5">
        <v>46029</v>
      </c>
      <c r="B5" s="1">
        <v>63.22</v>
      </c>
      <c r="C5" s="1">
        <v>210.68</v>
      </c>
      <c r="D5" s="1">
        <v>6.6</v>
      </c>
      <c r="E5" s="1">
        <v>104.4</v>
      </c>
      <c r="F5" s="1">
        <v>689.58</v>
      </c>
      <c r="G5" s="1">
        <v>120.9</v>
      </c>
      <c r="H5" s="1">
        <v>624.02</v>
      </c>
    </row>
    <row r="6" spans="1:8" x14ac:dyDescent="0.2">
      <c r="A6" s="5">
        <v>46030</v>
      </c>
      <c r="B6" s="1">
        <v>65.260000000000005</v>
      </c>
      <c r="C6" s="1">
        <v>213.46</v>
      </c>
      <c r="D6" s="1">
        <v>6.72</v>
      </c>
      <c r="E6" s="1">
        <v>105.76</v>
      </c>
      <c r="F6" s="1">
        <v>689.51</v>
      </c>
      <c r="G6" s="1">
        <v>122.92</v>
      </c>
      <c r="H6" s="1">
        <v>620.47</v>
      </c>
    </row>
    <row r="7" spans="1:8" x14ac:dyDescent="0.2">
      <c r="A7" s="5">
        <v>46031</v>
      </c>
      <c r="B7" s="1">
        <v>65.92</v>
      </c>
      <c r="C7" s="1">
        <v>212.25</v>
      </c>
      <c r="D7" s="1">
        <v>6.84</v>
      </c>
      <c r="E7" s="1">
        <v>106.85</v>
      </c>
      <c r="F7" s="1">
        <v>694.07</v>
      </c>
      <c r="G7" s="1">
        <v>124.41</v>
      </c>
      <c r="H7" s="1">
        <v>626.65</v>
      </c>
    </row>
    <row r="8" spans="1:8" x14ac:dyDescent="0.2">
      <c r="A8" s="5">
        <v>46034</v>
      </c>
      <c r="B8" s="1">
        <v>65.64</v>
      </c>
      <c r="C8" s="1">
        <v>211.49</v>
      </c>
      <c r="D8" s="1">
        <v>6.61</v>
      </c>
      <c r="E8" s="1">
        <v>100.59</v>
      </c>
      <c r="F8" s="1">
        <v>695.16</v>
      </c>
      <c r="G8" s="1">
        <v>124.52</v>
      </c>
      <c r="H8" s="1">
        <v>627.16999999999996</v>
      </c>
    </row>
    <row r="9" spans="1:8" x14ac:dyDescent="0.2">
      <c r="A9" s="5">
        <v>46035</v>
      </c>
      <c r="B9" s="1">
        <v>66.3</v>
      </c>
      <c r="C9" s="1">
        <v>213.91</v>
      </c>
      <c r="D9" s="1">
        <v>7</v>
      </c>
      <c r="E9" s="1">
        <v>99.12</v>
      </c>
      <c r="F9" s="1">
        <v>693.77</v>
      </c>
      <c r="G9" s="1">
        <v>124.21</v>
      </c>
      <c r="H9" s="1">
        <v>626.24</v>
      </c>
    </row>
    <row r="10" spans="1:8" x14ac:dyDescent="0.2">
      <c r="A10" s="5">
        <v>46036</v>
      </c>
      <c r="B10" s="1">
        <v>65.569999999999993</v>
      </c>
      <c r="C10" s="1">
        <v>211.52</v>
      </c>
      <c r="D10" s="1">
        <v>6.57</v>
      </c>
      <c r="E10" s="1">
        <v>100.68</v>
      </c>
      <c r="F10" s="1">
        <v>690.36</v>
      </c>
      <c r="G10" s="1">
        <v>122.25</v>
      </c>
      <c r="H10" s="1">
        <v>619.54999999999995</v>
      </c>
    </row>
    <row r="11" spans="1:8" x14ac:dyDescent="0.2">
      <c r="A11" s="5">
        <v>46037</v>
      </c>
      <c r="B11" s="1">
        <v>64.59</v>
      </c>
      <c r="C11" s="1">
        <v>212.6</v>
      </c>
      <c r="D11" s="1">
        <v>6.7</v>
      </c>
      <c r="E11" s="1">
        <v>99.09</v>
      </c>
      <c r="F11" s="1">
        <v>692.24</v>
      </c>
      <c r="G11" s="1">
        <v>122.7</v>
      </c>
      <c r="H11" s="1">
        <v>621.78</v>
      </c>
    </row>
    <row r="12" spans="1:8" x14ac:dyDescent="0.2">
      <c r="A12" s="5">
        <v>46038</v>
      </c>
      <c r="B12" s="1">
        <v>64.38</v>
      </c>
      <c r="C12" s="1">
        <v>211.8</v>
      </c>
      <c r="D12" s="1">
        <v>6.33</v>
      </c>
      <c r="E12" s="1">
        <v>97.71</v>
      </c>
      <c r="F12" s="1">
        <v>691.66</v>
      </c>
      <c r="G12" s="1">
        <v>122.3</v>
      </c>
      <c r="H12" s="1">
        <v>621.26</v>
      </c>
    </row>
    <row r="13" spans="1:8" x14ac:dyDescent="0.2">
      <c r="A13" s="5">
        <v>46042</v>
      </c>
      <c r="B13" s="1">
        <v>63.63</v>
      </c>
      <c r="C13" s="1">
        <v>200.73</v>
      </c>
      <c r="D13" s="1">
        <v>5.86</v>
      </c>
      <c r="E13" s="1">
        <v>97.04</v>
      </c>
      <c r="F13" s="1">
        <v>677.58</v>
      </c>
      <c r="G13" s="1">
        <v>119.12</v>
      </c>
      <c r="H13" s="1">
        <v>608.05999999999995</v>
      </c>
    </row>
    <row r="14" spans="1:8" x14ac:dyDescent="0.2">
      <c r="A14" s="5">
        <v>46043</v>
      </c>
      <c r="B14" s="1">
        <v>65.41</v>
      </c>
      <c r="C14" s="1">
        <v>204.57</v>
      </c>
      <c r="D14" s="1">
        <v>5.86</v>
      </c>
      <c r="E14" s="1">
        <v>96.92</v>
      </c>
      <c r="F14" s="1">
        <v>685.4</v>
      </c>
      <c r="G14" s="1">
        <v>121.4</v>
      </c>
      <c r="H14" s="1">
        <v>616.28</v>
      </c>
    </row>
    <row r="15" spans="1:8" x14ac:dyDescent="0.2">
      <c r="A15" s="5">
        <v>46044</v>
      </c>
      <c r="B15" s="1">
        <v>65.459999999999994</v>
      </c>
      <c r="C15" s="1">
        <v>206.12</v>
      </c>
      <c r="D15" s="1">
        <v>5.81</v>
      </c>
      <c r="E15" s="1">
        <v>97.69</v>
      </c>
      <c r="F15" s="1">
        <v>688.98</v>
      </c>
      <c r="G15" s="1">
        <v>122.62</v>
      </c>
      <c r="H15" s="1">
        <v>620.76</v>
      </c>
    </row>
    <row r="16" spans="1:8" x14ac:dyDescent="0.2">
      <c r="A16" s="5">
        <v>46045</v>
      </c>
      <c r="B16" s="1">
        <v>65.040000000000006</v>
      </c>
      <c r="C16" s="1">
        <v>206.17</v>
      </c>
      <c r="D16" s="1">
        <v>5.8</v>
      </c>
      <c r="E16" s="1">
        <v>94.47</v>
      </c>
      <c r="F16" s="1">
        <v>689.23</v>
      </c>
      <c r="G16" s="1">
        <v>123.13</v>
      </c>
      <c r="H16" s="1">
        <v>622.72</v>
      </c>
    </row>
    <row r="17" spans="1:8" x14ac:dyDescent="0.2">
      <c r="A17" s="5">
        <v>46048</v>
      </c>
      <c r="B17" s="1">
        <v>64.989999999999995</v>
      </c>
      <c r="C17" s="1">
        <v>206.92</v>
      </c>
      <c r="D17" s="1">
        <v>5.96</v>
      </c>
      <c r="E17" s="1">
        <v>93.28</v>
      </c>
      <c r="F17" s="1">
        <v>692.73</v>
      </c>
      <c r="G17" s="1">
        <v>122.32</v>
      </c>
      <c r="H17" s="1">
        <v>625.46</v>
      </c>
    </row>
    <row r="18" spans="1:8" x14ac:dyDescent="0.2">
      <c r="A18" s="5">
        <v>46049</v>
      </c>
      <c r="B18" s="1">
        <v>63.09</v>
      </c>
      <c r="C18" s="1">
        <v>204.8</v>
      </c>
      <c r="D18" s="1">
        <v>5.87</v>
      </c>
      <c r="E18" s="1">
        <v>92.68</v>
      </c>
      <c r="F18" s="1">
        <v>695.49</v>
      </c>
      <c r="G18" s="1">
        <v>122.69</v>
      </c>
      <c r="H18" s="1">
        <v>631.13</v>
      </c>
    </row>
    <row r="19" spans="1:8" x14ac:dyDescent="0.2">
      <c r="A19" s="5">
        <v>46050</v>
      </c>
      <c r="B19" s="1">
        <v>62.24</v>
      </c>
      <c r="C19" s="1">
        <v>204.48</v>
      </c>
      <c r="D19" s="1">
        <v>5.84</v>
      </c>
      <c r="E19" s="1">
        <v>91.63</v>
      </c>
      <c r="F19" s="1">
        <v>695.42</v>
      </c>
      <c r="G19" s="1">
        <v>121.77</v>
      </c>
      <c r="H19" s="1">
        <v>633.22</v>
      </c>
    </row>
    <row r="20" spans="1:8" x14ac:dyDescent="0.2">
      <c r="A20" s="5">
        <v>46051</v>
      </c>
      <c r="B20" s="1">
        <v>62.6</v>
      </c>
      <c r="C20" s="1">
        <v>204.65</v>
      </c>
      <c r="D20" s="1">
        <v>5.73</v>
      </c>
      <c r="E20" s="1">
        <v>91.77</v>
      </c>
      <c r="F20" s="1">
        <v>694.04</v>
      </c>
      <c r="G20" s="1">
        <v>121.19</v>
      </c>
      <c r="H20" s="1">
        <v>629.42999999999995</v>
      </c>
    </row>
    <row r="21" spans="1:8" x14ac:dyDescent="0.2">
      <c r="A21" s="5">
        <v>46052</v>
      </c>
      <c r="B21" s="1">
        <v>61.81</v>
      </c>
      <c r="C21" s="1">
        <v>201.64</v>
      </c>
      <c r="D21" s="1">
        <v>5.59</v>
      </c>
      <c r="E21" s="1">
        <v>91.04</v>
      </c>
      <c r="F21" s="1">
        <v>691.97</v>
      </c>
      <c r="G21" s="1">
        <v>121.17</v>
      </c>
      <c r="H21" s="1">
        <v>621.87</v>
      </c>
    </row>
    <row r="22" spans="1:8" x14ac:dyDescent="0.2">
      <c r="A22" s="5">
        <v>46055</v>
      </c>
      <c r="B22" s="1">
        <v>62.18</v>
      </c>
      <c r="C22" s="1">
        <v>206.92</v>
      </c>
      <c r="D22" s="1">
        <v>5.76</v>
      </c>
      <c r="E22" s="1">
        <v>91.28</v>
      </c>
      <c r="F22" s="1">
        <v>695.41</v>
      </c>
      <c r="G22" s="1">
        <v>121.97</v>
      </c>
      <c r="H22" s="1">
        <v>626.14</v>
      </c>
    </row>
    <row r="23" spans="1:8" x14ac:dyDescent="0.2">
      <c r="A23" s="5">
        <v>46056</v>
      </c>
      <c r="B23" s="1">
        <v>60.93</v>
      </c>
      <c r="C23" s="1">
        <v>201.22</v>
      </c>
      <c r="D23" s="1">
        <v>5.72</v>
      </c>
      <c r="E23" s="1">
        <v>90.76</v>
      </c>
      <c r="F23" s="1">
        <v>689.53</v>
      </c>
      <c r="G23" s="1">
        <v>120.99</v>
      </c>
      <c r="H23" s="1">
        <v>616.52</v>
      </c>
    </row>
    <row r="24" spans="1:8" x14ac:dyDescent="0.2">
      <c r="A24" s="5">
        <v>46057</v>
      </c>
      <c r="B24" s="1">
        <v>64.22</v>
      </c>
      <c r="C24" s="1">
        <v>205.26</v>
      </c>
      <c r="D24" s="1">
        <v>5.91</v>
      </c>
      <c r="E24" s="1">
        <v>92.18</v>
      </c>
      <c r="F24" s="1">
        <v>686.19</v>
      </c>
      <c r="G24" s="1">
        <v>120.1</v>
      </c>
      <c r="H24" s="1">
        <v>605.75</v>
      </c>
    </row>
    <row r="25" spans="1:8" x14ac:dyDescent="0.2">
      <c r="A25" s="5">
        <v>46058</v>
      </c>
      <c r="B25" s="1">
        <v>62.7</v>
      </c>
      <c r="C25" s="1">
        <v>198.69</v>
      </c>
      <c r="D25" s="1">
        <v>4.3899999999999997</v>
      </c>
      <c r="E25" s="1">
        <v>90.61</v>
      </c>
      <c r="F25" s="1">
        <v>677.62</v>
      </c>
      <c r="G25" s="1">
        <v>117.51</v>
      </c>
      <c r="H25" s="1">
        <v>597.03</v>
      </c>
    </row>
    <row r="26" spans="1:8" x14ac:dyDescent="0.2">
      <c r="A26" s="5">
        <v>46059</v>
      </c>
      <c r="B26" s="1">
        <v>63.92</v>
      </c>
      <c r="C26" s="1">
        <v>202.33</v>
      </c>
      <c r="D26" s="1">
        <v>4.625</v>
      </c>
      <c r="E26" s="1">
        <v>91.61</v>
      </c>
      <c r="F26" s="1">
        <v>690.62</v>
      </c>
      <c r="G26" s="1">
        <v>117.99</v>
      </c>
      <c r="H26" s="1">
        <v>609.65</v>
      </c>
    </row>
    <row r="27" spans="1:8" x14ac:dyDescent="0.2">
      <c r="A27" s="5">
        <v>46062</v>
      </c>
      <c r="B27" s="1">
        <v>62.41</v>
      </c>
      <c r="C27" s="1">
        <v>206.03</v>
      </c>
      <c r="D27" s="1">
        <v>4.4000000000000004</v>
      </c>
      <c r="E27" s="1">
        <v>91.7</v>
      </c>
      <c r="F27" s="1">
        <v>693.95</v>
      </c>
      <c r="G27" s="1">
        <v>117.55</v>
      </c>
      <c r="H27" s="1">
        <v>614.32000000000005</v>
      </c>
    </row>
    <row r="28" spans="1:8" x14ac:dyDescent="0.2">
      <c r="A28" s="5">
        <v>46063</v>
      </c>
      <c r="B28" s="1">
        <v>63.04</v>
      </c>
      <c r="C28" s="1">
        <v>208.41</v>
      </c>
      <c r="D28" s="1">
        <v>4.3499999999999996</v>
      </c>
      <c r="E28" s="1">
        <v>93.01</v>
      </c>
      <c r="F28" s="1">
        <v>692.12</v>
      </c>
      <c r="G28" s="1">
        <v>118.33</v>
      </c>
      <c r="H28" s="1">
        <v>611.47</v>
      </c>
    </row>
    <row r="29" spans="1:8" x14ac:dyDescent="0.2">
      <c r="A29" s="5">
        <v>46064</v>
      </c>
      <c r="B29" s="1">
        <v>62.35</v>
      </c>
      <c r="C29" s="1">
        <v>206.58</v>
      </c>
      <c r="D29" s="1">
        <v>4.32</v>
      </c>
      <c r="E29" s="1">
        <v>92.07</v>
      </c>
      <c r="F29" s="1">
        <v>691.96</v>
      </c>
      <c r="G29" s="1">
        <v>117.76</v>
      </c>
      <c r="H29" s="1">
        <v>613.11</v>
      </c>
    </row>
    <row r="30" spans="1:8" x14ac:dyDescent="0.2">
      <c r="A30" s="5">
        <v>46065</v>
      </c>
      <c r="B30" s="1">
        <v>61.1</v>
      </c>
      <c r="C30" s="1">
        <v>203.22</v>
      </c>
      <c r="D30" s="1">
        <v>4.2300000000000004</v>
      </c>
      <c r="E30" s="1">
        <v>88.66</v>
      </c>
      <c r="F30" s="1">
        <v>681.27</v>
      </c>
      <c r="G30" s="1">
        <v>116.13</v>
      </c>
      <c r="H30" s="1">
        <v>600.64</v>
      </c>
    </row>
    <row r="31" spans="1:8" x14ac:dyDescent="0.2">
      <c r="A31" s="5">
        <v>46066</v>
      </c>
      <c r="B31" s="1">
        <v>63.13</v>
      </c>
      <c r="C31" s="1">
        <v>214.74</v>
      </c>
      <c r="D31" s="1">
        <v>4.25</v>
      </c>
      <c r="E31" s="1">
        <v>90.7</v>
      </c>
      <c r="F31" s="1">
        <v>681.75</v>
      </c>
      <c r="G31" s="1">
        <v>116.18</v>
      </c>
      <c r="H31" s="1">
        <v>601.91999999999996</v>
      </c>
    </row>
    <row r="32" spans="1:8" x14ac:dyDescent="0.2">
      <c r="A32" s="5">
        <v>46070</v>
      </c>
      <c r="B32" s="1">
        <v>64.819999999999993</v>
      </c>
      <c r="C32" s="1">
        <v>216.98</v>
      </c>
      <c r="D32" s="1">
        <v>4.1900000000000004</v>
      </c>
      <c r="E32" s="1">
        <v>92.58</v>
      </c>
      <c r="F32" s="1">
        <v>682.85</v>
      </c>
      <c r="G32" s="1">
        <v>116.04</v>
      </c>
      <c r="H32" s="1">
        <v>601.29999999999995</v>
      </c>
    </row>
    <row r="33" spans="1:8" x14ac:dyDescent="0.2">
      <c r="A33" s="5">
        <v>46071</v>
      </c>
      <c r="B33" s="1">
        <v>65.55</v>
      </c>
      <c r="C33" s="1">
        <v>237.46</v>
      </c>
      <c r="D33" s="1">
        <v>4.32</v>
      </c>
      <c r="E33" s="1">
        <v>93.89</v>
      </c>
      <c r="F33" s="1">
        <v>686.29</v>
      </c>
      <c r="G33" s="1">
        <v>117.02</v>
      </c>
      <c r="H33" s="1">
        <v>605.79</v>
      </c>
    </row>
    <row r="34" spans="1:8" x14ac:dyDescent="0.2">
      <c r="A34" s="5">
        <v>46072</v>
      </c>
      <c r="B34" s="1">
        <v>65.61</v>
      </c>
      <c r="C34" s="1">
        <v>239.8</v>
      </c>
      <c r="D34" s="1">
        <v>4.42</v>
      </c>
      <c r="E34" s="1">
        <v>91.13</v>
      </c>
      <c r="F34" s="1">
        <v>684.48</v>
      </c>
      <c r="G34" s="1">
        <v>116.24</v>
      </c>
      <c r="H34" s="1">
        <v>603.47</v>
      </c>
    </row>
    <row r="35" spans="1:8" x14ac:dyDescent="0.2">
      <c r="A35" s="5">
        <v>46073</v>
      </c>
      <c r="B35" s="1">
        <v>65.400000000000006</v>
      </c>
      <c r="C35" s="1">
        <v>248.9</v>
      </c>
      <c r="D35" s="1">
        <v>4.41</v>
      </c>
      <c r="E35" s="1">
        <v>90.65</v>
      </c>
      <c r="F35" s="1">
        <v>689.43</v>
      </c>
      <c r="G35" s="1">
        <v>117.45</v>
      </c>
      <c r="H35" s="1">
        <v>608.80999999999995</v>
      </c>
    </row>
    <row r="36" spans="1:8" x14ac:dyDescent="0.2">
      <c r="A36" s="5">
        <v>46076</v>
      </c>
      <c r="B36" s="1">
        <v>63.09</v>
      </c>
      <c r="C36" s="1">
        <v>247.1</v>
      </c>
      <c r="D36" s="1">
        <v>4.13</v>
      </c>
      <c r="E36" s="1">
        <v>90.75</v>
      </c>
      <c r="F36" s="1">
        <v>682.39</v>
      </c>
      <c r="G36" s="1">
        <v>114.99</v>
      </c>
      <c r="H36" s="1">
        <v>601.41</v>
      </c>
    </row>
    <row r="37" spans="1:8" x14ac:dyDescent="0.2">
      <c r="A37" s="5">
        <v>46077</v>
      </c>
      <c r="B37" s="1">
        <v>64.09</v>
      </c>
      <c r="C37" s="1">
        <v>251.49</v>
      </c>
      <c r="D37" s="1">
        <v>4.04</v>
      </c>
      <c r="E37" s="1">
        <v>82.61</v>
      </c>
      <c r="F37" s="1">
        <v>687.35</v>
      </c>
      <c r="G37" s="1">
        <v>116.74</v>
      </c>
      <c r="H37" s="1">
        <v>607.87</v>
      </c>
    </row>
    <row r="38" spans="1:8" x14ac:dyDescent="0.2">
      <c r="A38" s="5">
        <v>46078</v>
      </c>
      <c r="B38" s="1">
        <v>63.4</v>
      </c>
      <c r="C38" s="1">
        <v>251.99</v>
      </c>
      <c r="D38" s="1">
        <v>4.12</v>
      </c>
      <c r="E38" s="1">
        <v>80.05</v>
      </c>
      <c r="F38" s="1">
        <v>693.15</v>
      </c>
      <c r="G38" s="1">
        <v>117.09</v>
      </c>
      <c r="H38" s="1">
        <v>616.67999999999995</v>
      </c>
    </row>
    <row r="39" spans="1:8" x14ac:dyDescent="0.2">
      <c r="A39" s="5">
        <v>46079</v>
      </c>
      <c r="B39" s="1">
        <v>63.95</v>
      </c>
      <c r="C39" s="1">
        <v>254.16</v>
      </c>
      <c r="D39" s="1">
        <v>4.08</v>
      </c>
      <c r="E39" s="1">
        <v>83.77</v>
      </c>
      <c r="F39" s="1">
        <v>689.3</v>
      </c>
      <c r="G39" s="1">
        <v>117.05</v>
      </c>
      <c r="H39" s="1">
        <v>609.24</v>
      </c>
    </row>
    <row r="40" spans="1:8" x14ac:dyDescent="0.2">
      <c r="A40" s="5">
        <v>46080</v>
      </c>
      <c r="B40" s="1">
        <v>62.18</v>
      </c>
      <c r="C40" s="1">
        <v>252.83</v>
      </c>
      <c r="D40" s="1">
        <v>4.0199999999999996</v>
      </c>
      <c r="E40" s="1">
        <v>82.15</v>
      </c>
      <c r="F40" s="1">
        <v>685.99</v>
      </c>
      <c r="G40" s="1">
        <v>116.86</v>
      </c>
      <c r="H40" s="1">
        <v>607.29</v>
      </c>
    </row>
    <row r="41" spans="1:8" x14ac:dyDescent="0.2">
      <c r="A41" s="5">
        <v>46083</v>
      </c>
      <c r="B41" s="1">
        <v>61.01</v>
      </c>
      <c r="C41" s="1">
        <v>255.16</v>
      </c>
      <c r="D41" s="1">
        <v>3.9</v>
      </c>
      <c r="E41" s="1">
        <v>81.84</v>
      </c>
      <c r="F41" s="1">
        <v>686.38</v>
      </c>
      <c r="G41" s="1">
        <v>115.42</v>
      </c>
      <c r="H41" s="1">
        <v>608.09</v>
      </c>
    </row>
    <row r="42" spans="1:8" x14ac:dyDescent="0.2">
      <c r="A42" s="5">
        <v>46084</v>
      </c>
      <c r="B42" s="1">
        <v>59.39</v>
      </c>
      <c r="C42" s="1">
        <v>250.69</v>
      </c>
      <c r="D42" s="1">
        <v>3.91</v>
      </c>
      <c r="E42" s="1">
        <v>82.83</v>
      </c>
      <c r="F42" s="1">
        <v>680.33</v>
      </c>
      <c r="G42" s="1">
        <v>114.36</v>
      </c>
      <c r="H42" s="1">
        <v>601.58000000000004</v>
      </c>
    </row>
    <row r="43" spans="1:8" x14ac:dyDescent="0.2">
      <c r="A43" s="5">
        <v>46085</v>
      </c>
      <c r="B43" s="1">
        <v>58.64</v>
      </c>
      <c r="C43" s="1">
        <v>251.18</v>
      </c>
      <c r="D43" s="1">
        <v>3.85</v>
      </c>
      <c r="E43" s="1">
        <v>81.39</v>
      </c>
      <c r="F43" s="1">
        <v>685.13</v>
      </c>
      <c r="G43" s="1">
        <v>116.39</v>
      </c>
      <c r="H43" s="1">
        <v>610.75</v>
      </c>
    </row>
    <row r="44" spans="1:8" x14ac:dyDescent="0.2">
      <c r="A44" s="5">
        <v>46086</v>
      </c>
      <c r="B44" s="1">
        <v>58.02</v>
      </c>
      <c r="C44" s="1">
        <v>240.17</v>
      </c>
      <c r="D44" s="1">
        <v>3.83</v>
      </c>
      <c r="E44" s="1">
        <v>79.94</v>
      </c>
      <c r="F44" s="1">
        <v>681.31</v>
      </c>
      <c r="G44" s="1">
        <v>116.55</v>
      </c>
      <c r="H44" s="1">
        <v>608.91</v>
      </c>
    </row>
    <row r="45" spans="1:8" x14ac:dyDescent="0.2">
      <c r="A45" s="5">
        <v>46087</v>
      </c>
      <c r="B45" s="1">
        <v>57.01</v>
      </c>
      <c r="C45" s="1">
        <v>243.48</v>
      </c>
      <c r="D45" s="1">
        <v>3.83</v>
      </c>
      <c r="E45" s="1">
        <v>78.66</v>
      </c>
      <c r="F45" s="1">
        <v>672.38</v>
      </c>
      <c r="G45" s="1">
        <v>114.44</v>
      </c>
      <c r="H45" s="1">
        <v>599.75</v>
      </c>
    </row>
    <row r="46" spans="1:8" x14ac:dyDescent="0.2">
      <c r="A46" s="5">
        <v>46090</v>
      </c>
      <c r="B46" s="1">
        <v>56.53</v>
      </c>
      <c r="C46" s="1">
        <v>242.63</v>
      </c>
      <c r="D46" s="1">
        <v>3.86</v>
      </c>
      <c r="E46" s="1">
        <v>77.89</v>
      </c>
      <c r="F46" s="1">
        <v>678.27</v>
      </c>
      <c r="G46" s="1">
        <v>114.59</v>
      </c>
      <c r="H46" s="1">
        <v>607.76</v>
      </c>
    </row>
    <row r="47" spans="1:8" x14ac:dyDescent="0.2">
      <c r="A47" s="5">
        <v>46091</v>
      </c>
      <c r="B47" s="1">
        <v>56.08</v>
      </c>
      <c r="C47" s="1">
        <v>241.34</v>
      </c>
      <c r="D47" s="1">
        <v>3.71</v>
      </c>
      <c r="E47" s="1">
        <v>76.290000000000006</v>
      </c>
      <c r="F47" s="1">
        <v>677.18</v>
      </c>
      <c r="G47" s="1">
        <v>114.44</v>
      </c>
      <c r="H47" s="1">
        <v>607.77</v>
      </c>
    </row>
    <row r="48" spans="1:8" x14ac:dyDescent="0.2">
      <c r="A48" s="5">
        <v>46092</v>
      </c>
      <c r="B48" s="1">
        <v>55.7</v>
      </c>
      <c r="C48" s="1">
        <v>236.09</v>
      </c>
      <c r="D48" s="1">
        <v>3.86</v>
      </c>
      <c r="E48" s="1">
        <v>77.92</v>
      </c>
      <c r="F48" s="1">
        <v>676.33</v>
      </c>
      <c r="G48" s="1">
        <v>114.14</v>
      </c>
      <c r="H48" s="1">
        <v>607.69000000000005</v>
      </c>
    </row>
    <row r="49" spans="1:8" x14ac:dyDescent="0.2">
      <c r="A49" s="5">
        <v>46093</v>
      </c>
      <c r="B49" s="1">
        <v>54.13</v>
      </c>
      <c r="C49" s="1">
        <v>235.73</v>
      </c>
      <c r="D49" s="1">
        <v>3.77</v>
      </c>
      <c r="E49" s="1">
        <v>74.760000000000005</v>
      </c>
      <c r="F49" s="1">
        <v>666.06</v>
      </c>
      <c r="G49" s="1">
        <v>111.52</v>
      </c>
      <c r="H49" s="1">
        <v>597.26</v>
      </c>
    </row>
    <row r="50" spans="1:8" x14ac:dyDescent="0.2">
      <c r="A50" s="5">
        <v>46094</v>
      </c>
      <c r="B50" s="1">
        <v>53.98</v>
      </c>
      <c r="C50" s="1">
        <v>233.52</v>
      </c>
      <c r="D50" s="1">
        <v>3.71</v>
      </c>
      <c r="E50" s="1">
        <v>73.62</v>
      </c>
      <c r="F50" s="1">
        <v>662.29</v>
      </c>
      <c r="G50" s="1">
        <v>110.86</v>
      </c>
      <c r="H50" s="1">
        <v>593.72</v>
      </c>
    </row>
    <row r="51" spans="1:8" x14ac:dyDescent="0.2">
      <c r="A51" s="5">
        <v>46097</v>
      </c>
      <c r="B51" s="1">
        <v>54.79</v>
      </c>
      <c r="C51" s="1">
        <v>234.83</v>
      </c>
      <c r="D51" s="1">
        <v>3.87</v>
      </c>
      <c r="E51" s="1">
        <v>75.3</v>
      </c>
      <c r="F51" s="1">
        <v>669.03</v>
      </c>
      <c r="G51" s="1">
        <v>112.2</v>
      </c>
      <c r="H51" s="1">
        <v>600.38</v>
      </c>
    </row>
    <row r="52" spans="1:8" x14ac:dyDescent="0.2">
      <c r="A52" s="5">
        <v>46098</v>
      </c>
      <c r="B52" s="1">
        <v>55.12</v>
      </c>
      <c r="C52" s="1">
        <v>235.1</v>
      </c>
      <c r="D52" s="1">
        <v>4.13</v>
      </c>
      <c r="E52" s="1">
        <v>74.05</v>
      </c>
      <c r="F52" s="1">
        <v>670.79</v>
      </c>
      <c r="G52" s="1">
        <v>113.18</v>
      </c>
      <c r="H52" s="1">
        <v>603.30999999999995</v>
      </c>
    </row>
    <row r="53" spans="1:8" x14ac:dyDescent="0.2">
      <c r="A53" s="5">
        <v>46099</v>
      </c>
      <c r="B53" s="1">
        <v>53.47</v>
      </c>
      <c r="C53" s="1">
        <v>231.6</v>
      </c>
      <c r="D53" s="1">
        <v>4.05</v>
      </c>
      <c r="E53" s="1">
        <v>74.650000000000006</v>
      </c>
      <c r="F53" s="1">
        <v>661.43</v>
      </c>
      <c r="G53" s="1">
        <v>110.57</v>
      </c>
      <c r="H53" s="1">
        <v>594.9</v>
      </c>
    </row>
    <row r="54" spans="1:8" x14ac:dyDescent="0.2">
      <c r="A54" s="5">
        <v>46100</v>
      </c>
      <c r="B54" s="1">
        <v>53.44</v>
      </c>
      <c r="C54" s="1">
        <v>235.11</v>
      </c>
      <c r="D54" s="1">
        <v>4.0599999999999996</v>
      </c>
      <c r="E54" s="1">
        <v>76.040000000000006</v>
      </c>
      <c r="F54" s="1">
        <v>659.8</v>
      </c>
      <c r="G54" s="1">
        <v>109.7</v>
      </c>
      <c r="H54" s="1">
        <v>593.02</v>
      </c>
    </row>
    <row r="55" spans="1:8" x14ac:dyDescent="0.2">
      <c r="A55" s="5">
        <v>46101</v>
      </c>
      <c r="B55" s="1">
        <v>52.37</v>
      </c>
      <c r="C55" s="1">
        <v>232.36</v>
      </c>
      <c r="D55" s="1">
        <v>3.84</v>
      </c>
      <c r="E55" s="1">
        <v>74.34</v>
      </c>
      <c r="F55" s="1">
        <v>648.57000000000005</v>
      </c>
      <c r="G55" s="1">
        <v>107.74</v>
      </c>
      <c r="H55" s="1">
        <v>582.05999999999995</v>
      </c>
    </row>
    <row r="56" spans="1:8" x14ac:dyDescent="0.2">
      <c r="A56" s="5">
        <v>46104</v>
      </c>
      <c r="B56" s="1">
        <v>52.71</v>
      </c>
      <c r="C56" s="1">
        <v>238.71</v>
      </c>
      <c r="D56" s="1">
        <v>3.93</v>
      </c>
      <c r="E56" s="1">
        <v>74.95</v>
      </c>
      <c r="F56" s="1">
        <v>655.38</v>
      </c>
      <c r="G56" s="1">
        <v>110.12</v>
      </c>
      <c r="H56" s="1">
        <v>588</v>
      </c>
    </row>
    <row r="57" spans="1:8" x14ac:dyDescent="0.2">
      <c r="A57" s="5">
        <v>46105</v>
      </c>
      <c r="B57" s="1">
        <v>53.49</v>
      </c>
      <c r="C57" s="1">
        <v>241.11</v>
      </c>
      <c r="D57" s="1">
        <v>4.1100000000000003</v>
      </c>
      <c r="E57" s="1">
        <v>75.209999999999994</v>
      </c>
      <c r="F57" s="1">
        <v>653.17999999999995</v>
      </c>
      <c r="G57" s="1">
        <v>109.68</v>
      </c>
      <c r="H57" s="1">
        <v>583.98</v>
      </c>
    </row>
    <row r="58" spans="1:8" x14ac:dyDescent="0.2">
      <c r="A58" s="5">
        <v>46106</v>
      </c>
      <c r="B58" s="1">
        <v>52.98</v>
      </c>
      <c r="C58" s="1">
        <v>244.78</v>
      </c>
      <c r="D58" s="1">
        <v>4.09</v>
      </c>
      <c r="E58" s="1">
        <v>75.16</v>
      </c>
      <c r="F58" s="1">
        <v>656.82</v>
      </c>
      <c r="G58" s="1">
        <v>110.73</v>
      </c>
      <c r="H58" s="1">
        <v>587.82000000000005</v>
      </c>
    </row>
    <row r="59" spans="1:8" x14ac:dyDescent="0.2">
      <c r="A59" s="5">
        <v>46107</v>
      </c>
      <c r="B59" s="1">
        <v>52.07</v>
      </c>
      <c r="C59" s="1">
        <v>236.07</v>
      </c>
      <c r="D59" s="1">
        <v>4.07</v>
      </c>
      <c r="E59" s="1">
        <v>75.400000000000006</v>
      </c>
      <c r="F59" s="1">
        <v>645.09</v>
      </c>
      <c r="G59" s="1">
        <v>108.83</v>
      </c>
      <c r="H59" s="1">
        <v>573.79</v>
      </c>
    </row>
    <row r="60" spans="1:8" x14ac:dyDescent="0.2">
      <c r="A60" s="5">
        <v>46108</v>
      </c>
      <c r="B60" s="1">
        <v>51.37</v>
      </c>
      <c r="C60" s="1">
        <v>230.16</v>
      </c>
      <c r="D60" s="1">
        <v>4.43</v>
      </c>
      <c r="E60" s="1">
        <v>73.8</v>
      </c>
      <c r="F60" s="1">
        <v>634.09</v>
      </c>
      <c r="G60" s="1">
        <v>105.68</v>
      </c>
      <c r="H60" s="1">
        <v>562.58000000000004</v>
      </c>
    </row>
    <row r="61" spans="1:8" x14ac:dyDescent="0.2">
      <c r="A61" s="5">
        <v>46111</v>
      </c>
      <c r="B61" s="1">
        <v>51.24</v>
      </c>
      <c r="C61" s="1">
        <v>226</v>
      </c>
      <c r="D61" s="1">
        <v>4</v>
      </c>
      <c r="E61" s="1">
        <v>73.73</v>
      </c>
      <c r="F61" s="1">
        <v>631.97</v>
      </c>
      <c r="G61" s="1">
        <v>105.66</v>
      </c>
      <c r="H61" s="1">
        <v>558.28</v>
      </c>
    </row>
    <row r="62" spans="1:8" x14ac:dyDescent="0.2">
      <c r="A62" s="5">
        <v>46112</v>
      </c>
      <c r="B62" s="1">
        <v>52.82</v>
      </c>
      <c r="C62" s="1">
        <v>232.01</v>
      </c>
      <c r="D62" s="1">
        <v>4.29</v>
      </c>
      <c r="E62" s="1">
        <v>74.38</v>
      </c>
      <c r="F62" s="1">
        <v>650.34</v>
      </c>
      <c r="G62" s="1">
        <v>108.98</v>
      </c>
      <c r="H62" s="1">
        <v>577.17999999999995</v>
      </c>
    </row>
    <row r="63" spans="1:8" x14ac:dyDescent="0.2">
      <c r="A63" s="5">
        <v>46113</v>
      </c>
      <c r="B63" s="1">
        <v>44.63</v>
      </c>
      <c r="C63" s="1">
        <v>237.57</v>
      </c>
      <c r="D63" s="1">
        <v>4.3</v>
      </c>
      <c r="E63" s="1">
        <v>72.14</v>
      </c>
      <c r="F63" s="1">
        <v>655.24</v>
      </c>
      <c r="G63" s="1">
        <v>109.8</v>
      </c>
      <c r="H63" s="1">
        <v>584.30999999999995</v>
      </c>
    </row>
    <row r="64" spans="1:8" x14ac:dyDescent="0.2">
      <c r="A64" s="5">
        <v>46114</v>
      </c>
      <c r="B64" s="1">
        <v>44.19</v>
      </c>
      <c r="C64" s="1">
        <v>237.65</v>
      </c>
      <c r="D64" s="1">
        <v>4.58</v>
      </c>
      <c r="E64" s="1">
        <v>73.290000000000006</v>
      </c>
      <c r="F64" s="1">
        <v>655.83</v>
      </c>
      <c r="G64" s="1">
        <v>108.15</v>
      </c>
      <c r="H64" s="1">
        <v>584.98</v>
      </c>
    </row>
    <row r="65" spans="1:8" x14ac:dyDescent="0.2">
      <c r="A65" s="5">
        <v>46118</v>
      </c>
      <c r="B65" s="1">
        <v>44.03</v>
      </c>
      <c r="C65" s="1">
        <v>242.79</v>
      </c>
      <c r="D65" s="1">
        <v>4.6500000000000004</v>
      </c>
      <c r="E65" s="1">
        <v>73.48</v>
      </c>
      <c r="F65" s="1">
        <v>658.93</v>
      </c>
      <c r="G65" s="1">
        <v>109.04</v>
      </c>
      <c r="H65" s="1">
        <v>588.5</v>
      </c>
    </row>
    <row r="66" spans="1:8" x14ac:dyDescent="0.2">
      <c r="A66" s="5">
        <v>46119</v>
      </c>
      <c r="B66" s="1">
        <v>42.69</v>
      </c>
      <c r="C66" s="1">
        <v>241.27</v>
      </c>
      <c r="D66" s="1">
        <v>4.8099999999999996</v>
      </c>
      <c r="E66" s="1">
        <v>74.239999999999995</v>
      </c>
      <c r="F66" s="1">
        <v>659.22</v>
      </c>
      <c r="G66" s="1">
        <v>107.77</v>
      </c>
      <c r="H66" s="1">
        <v>588.59</v>
      </c>
    </row>
  </sheetData>
  <sortState xmlns:xlrd2="http://schemas.microsoft.com/office/spreadsheetml/2017/richdata2" ref="A2:H66">
    <sortCondition ref="A2:A66"/>
  </sortState>
  <pageMargins left="0.7" right="0.7" top="0.75" bottom="0.75" header="0.3" footer="0.3"/>
  <pageSetup orientation="portrait" horizontalDpi="0" verticalDpi="0"/>
  <headerFooter>
    <oddHeader>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66B0-1DDC-6740-97D9-D59612B272AA}">
  <dimension ref="A1:H66"/>
  <sheetViews>
    <sheetView zoomScale="150" zoomScaleNormal="150" workbookViewId="0">
      <selection activeCell="J66" sqref="J66"/>
    </sheetView>
  </sheetViews>
  <sheetFormatPr baseColWidth="10" defaultRowHeight="16" x14ac:dyDescent="0.2"/>
  <cols>
    <col min="3" max="3" width="15.33203125" customWidth="1"/>
    <col min="4" max="4" width="16" customWidth="1"/>
    <col min="5" max="5" width="14.6640625" customWidth="1"/>
    <col min="6" max="6" width="13" customWidth="1"/>
    <col min="7" max="7" width="15.5" customWidth="1"/>
    <col min="8" max="8" width="20.83203125" customWidth="1"/>
  </cols>
  <sheetData>
    <row r="1" spans="1:8" x14ac:dyDescent="0.2">
      <c r="A1" s="4" t="s">
        <v>5</v>
      </c>
      <c r="B1" t="s">
        <v>18</v>
      </c>
      <c r="C1" t="s">
        <v>15</v>
      </c>
      <c r="D1" t="s">
        <v>16</v>
      </c>
      <c r="E1" t="s">
        <v>17</v>
      </c>
      <c r="F1" t="s">
        <v>19</v>
      </c>
      <c r="G1" t="s">
        <v>20</v>
      </c>
      <c r="H1" t="s">
        <v>21</v>
      </c>
    </row>
    <row r="2" spans="1:8" x14ac:dyDescent="0.2">
      <c r="A2" s="5">
        <v>46024</v>
      </c>
      <c r="B2" s="2"/>
    </row>
    <row r="3" spans="1:8" x14ac:dyDescent="0.2">
      <c r="A3" s="5">
        <v>46027</v>
      </c>
      <c r="B3">
        <f>(Prices!B3/Prices!B2)-1</f>
        <v>1.9753476611883647E-2</v>
      </c>
      <c r="C3">
        <f>(Prices!C3/Prices!C2)-1</f>
        <v>6.5204505038529703E-3</v>
      </c>
      <c r="D3">
        <f>(Prices!D3/Prices!D2)-1</f>
        <v>1.6339869281045694E-2</v>
      </c>
      <c r="E3">
        <f>(Prices!E3/Prices!E2)-1</f>
        <v>-3.9642759500592484E-2</v>
      </c>
      <c r="F3">
        <f>(Prices!F3/Prices!F2)-1</f>
        <v>6.6601285185239334E-3</v>
      </c>
      <c r="G3">
        <f>(Prices!G3/Prices!G2)-1</f>
        <v>1.6476552598225558E-2</v>
      </c>
      <c r="H3">
        <f>(Prices!H3/Prices!H2)-1</f>
        <v>7.9429801670145572E-3</v>
      </c>
    </row>
    <row r="4" spans="1:8" x14ac:dyDescent="0.2">
      <c r="A4" s="5">
        <v>46028</v>
      </c>
      <c r="B4">
        <f>(Prices!B4/Prices!B3)-1</f>
        <v>1.2707267937393407E-2</v>
      </c>
      <c r="C4">
        <f>(Prices!C4/Prices!C3)-1</f>
        <v>2.7434236356497887E-2</v>
      </c>
      <c r="D4">
        <f>(Prices!D4/Prices!D3)-1</f>
        <v>6.1093247588424493E-2</v>
      </c>
      <c r="E4">
        <f>(Prices!E4/Prices!E3)-1</f>
        <v>1.4234200037959166E-3</v>
      </c>
      <c r="F4">
        <f>(Prices!F4/Prices!F3)-1</f>
        <v>5.9471878089918384E-3</v>
      </c>
      <c r="G4">
        <f>(Prices!G4/Prices!G3)-1</f>
        <v>6.4006650041561475E-3</v>
      </c>
      <c r="H4">
        <f>(Prices!H4/Prices!H3)-1</f>
        <v>8.786549944173716E-3</v>
      </c>
    </row>
    <row r="5" spans="1:8" x14ac:dyDescent="0.2">
      <c r="A5" s="5">
        <v>46029</v>
      </c>
      <c r="B5">
        <f>(Prices!B5/Prices!B4)-1</f>
        <v>-3.2593726090282993E-2</v>
      </c>
      <c r="C5">
        <f>(Prices!C5/Prices!C4)-1</f>
        <v>6.3529973728206901E-3</v>
      </c>
      <c r="D5">
        <f>(Prices!D5/Prices!D4)-1</f>
        <v>0</v>
      </c>
      <c r="E5">
        <f>(Prices!E5/Prices!E4)-1</f>
        <v>-1.0707855586089221E-2</v>
      </c>
      <c r="F5">
        <f>(Prices!F5/Prices!F4)-1</f>
        <v>-3.223428397970407E-3</v>
      </c>
      <c r="G5">
        <f>(Prices!G5/Prices!G4)-1</f>
        <v>-1.4041463616089045E-3</v>
      </c>
      <c r="H5">
        <f>(Prices!H5/Prices!H4)-1</f>
        <v>9.6243303070164821E-4</v>
      </c>
    </row>
    <row r="6" spans="1:8" x14ac:dyDescent="0.2">
      <c r="A6" s="5">
        <v>46030</v>
      </c>
      <c r="B6">
        <f>(Prices!B6/Prices!B5)-1</f>
        <v>3.2268269534957428E-2</v>
      </c>
      <c r="C6">
        <f>(Prices!C6/Prices!C5)-1</f>
        <v>1.3195367381811263E-2</v>
      </c>
      <c r="D6">
        <f>(Prices!D6/Prices!D5)-1</f>
        <v>1.8181818181818299E-2</v>
      </c>
      <c r="E6">
        <f>(Prices!E6/Prices!E5)-1</f>
        <v>1.3026819923371624E-2</v>
      </c>
      <c r="F6">
        <f>(Prices!F6/Prices!F5)-1</f>
        <v>-1.0151106470612792E-4</v>
      </c>
      <c r="G6">
        <f>(Prices!G6/Prices!G5)-1</f>
        <v>1.6708023159635932E-2</v>
      </c>
      <c r="H6">
        <f>(Prices!H6/Prices!H5)-1</f>
        <v>-5.6889202269156947E-3</v>
      </c>
    </row>
    <row r="7" spans="1:8" x14ac:dyDescent="0.2">
      <c r="A7" s="5">
        <v>46031</v>
      </c>
      <c r="B7">
        <f>(Prices!B7/Prices!B6)-1</f>
        <v>1.011339258351196E-2</v>
      </c>
      <c r="C7">
        <f>(Prices!C7/Prices!C6)-1</f>
        <v>-5.6685093225897765E-3</v>
      </c>
      <c r="D7">
        <f>(Prices!D7/Prices!D6)-1</f>
        <v>1.7857142857142794E-2</v>
      </c>
      <c r="E7">
        <f>(Prices!E7/Prices!E6)-1</f>
        <v>1.030635400907709E-2</v>
      </c>
      <c r="F7">
        <f>(Prices!F7/Prices!F6)-1</f>
        <v>6.613392119041217E-3</v>
      </c>
      <c r="G7">
        <f>(Prices!G7/Prices!G6)-1</f>
        <v>1.2121705174096942E-2</v>
      </c>
      <c r="H7">
        <f>(Prices!H7/Prices!H6)-1</f>
        <v>9.9601914677582837E-3</v>
      </c>
    </row>
    <row r="8" spans="1:8" x14ac:dyDescent="0.2">
      <c r="A8" s="5">
        <v>46034</v>
      </c>
      <c r="B8">
        <f>(Prices!B8/Prices!B7)-1</f>
        <v>-4.2475728155340065E-3</v>
      </c>
      <c r="C8">
        <f>(Prices!C8/Prices!C7)-1</f>
        <v>-3.5806831566548292E-3</v>
      </c>
      <c r="D8">
        <f>(Prices!D8/Prices!D7)-1</f>
        <v>-3.3625730994152003E-2</v>
      </c>
      <c r="E8">
        <f>(Prices!E8/Prices!E7)-1</f>
        <v>-5.8586803930744002E-2</v>
      </c>
      <c r="F8">
        <f>(Prices!F8/Prices!F7)-1</f>
        <v>1.5704467849062542E-3</v>
      </c>
      <c r="G8">
        <f>(Prices!G8/Prices!G7)-1</f>
        <v>8.8417329796630639E-4</v>
      </c>
      <c r="H8">
        <f>(Prices!H8/Prices!H7)-1</f>
        <v>8.298093034388998E-4</v>
      </c>
    </row>
    <row r="9" spans="1:8" x14ac:dyDescent="0.2">
      <c r="A9" s="5">
        <v>46035</v>
      </c>
      <c r="B9">
        <f>(Prices!B9/Prices!B8)-1</f>
        <v>1.0054844606946833E-2</v>
      </c>
      <c r="C9">
        <f>(Prices!C9/Prices!C8)-1</f>
        <v>1.1442621400538977E-2</v>
      </c>
      <c r="D9">
        <f>(Prices!D9/Prices!D8)-1</f>
        <v>5.9001512859303995E-2</v>
      </c>
      <c r="E9">
        <f>(Prices!E9/Prices!E8)-1</f>
        <v>-1.4613778705636737E-2</v>
      </c>
      <c r="F9">
        <f>(Prices!F9/Prices!F8)-1</f>
        <v>-1.9995396743195393E-3</v>
      </c>
      <c r="G9">
        <f>(Prices!G9/Prices!G8)-1</f>
        <v>-2.4895599100546173E-3</v>
      </c>
      <c r="H9">
        <f>(Prices!H9/Prices!H8)-1</f>
        <v>-1.4828515394549324E-3</v>
      </c>
    </row>
    <row r="10" spans="1:8" x14ac:dyDescent="0.2">
      <c r="A10" s="5">
        <v>46036</v>
      </c>
      <c r="B10">
        <f>(Prices!B10/Prices!B9)-1</f>
        <v>-1.1010558069381671E-2</v>
      </c>
      <c r="C10">
        <f>(Prices!C10/Prices!C9)-1</f>
        <v>-1.1172923191996587E-2</v>
      </c>
      <c r="D10">
        <f>(Prices!D10/Prices!D9)-1</f>
        <v>-6.1428571428571388E-2</v>
      </c>
      <c r="E10">
        <f>(Prices!E10/Prices!E9)-1</f>
        <v>1.57384987893463E-2</v>
      </c>
      <c r="F10">
        <f>(Prices!F10/Prices!F9)-1</f>
        <v>-4.9151736166164195E-3</v>
      </c>
      <c r="G10">
        <f>(Prices!G10/Prices!G9)-1</f>
        <v>-1.5779727880202876E-2</v>
      </c>
      <c r="H10">
        <f>(Prices!H10/Prices!H9)-1</f>
        <v>-1.0682805314256583E-2</v>
      </c>
    </row>
    <row r="11" spans="1:8" x14ac:dyDescent="0.2">
      <c r="A11" s="5">
        <v>46037</v>
      </c>
      <c r="B11">
        <f>(Prices!B11/Prices!B10)-1</f>
        <v>-1.4945859386914617E-2</v>
      </c>
      <c r="C11">
        <f>(Prices!C11/Prices!C10)-1</f>
        <v>5.1059001512858693E-3</v>
      </c>
      <c r="D11">
        <f>(Prices!D11/Prices!D10)-1</f>
        <v>1.9786910197869156E-2</v>
      </c>
      <c r="E11">
        <f>(Prices!E11/Prices!E10)-1</f>
        <v>-1.5792610250297989E-2</v>
      </c>
      <c r="F11">
        <f>(Prices!F11/Prices!F10)-1</f>
        <v>2.7232168723565486E-3</v>
      </c>
      <c r="G11">
        <f>(Prices!G11/Prices!G10)-1</f>
        <v>3.6809815950920033E-3</v>
      </c>
      <c r="H11">
        <f>(Prices!H11/Prices!H10)-1</f>
        <v>3.5993866516019768E-3</v>
      </c>
    </row>
    <row r="12" spans="1:8" x14ac:dyDescent="0.2">
      <c r="A12" s="5">
        <v>46038</v>
      </c>
      <c r="B12">
        <f>(Prices!B12/Prices!B11)-1</f>
        <v>-3.2512772875059603E-3</v>
      </c>
      <c r="C12">
        <f>(Prices!C12/Prices!C11)-1</f>
        <v>-3.7629350893696456E-3</v>
      </c>
      <c r="D12">
        <f>(Prices!D12/Prices!D11)-1</f>
        <v>-5.5223880597014885E-2</v>
      </c>
      <c r="E12">
        <f>(Prices!E12/Prices!E11)-1</f>
        <v>-1.3926733272782377E-2</v>
      </c>
      <c r="F12">
        <f>(Prices!F12/Prices!F11)-1</f>
        <v>-8.378597018375844E-4</v>
      </c>
      <c r="G12">
        <f>(Prices!G12/Prices!G11)-1</f>
        <v>-3.2599837000815146E-3</v>
      </c>
      <c r="H12">
        <f>(Prices!H12/Prices!H11)-1</f>
        <v>-8.3630866222772493E-4</v>
      </c>
    </row>
    <row r="13" spans="1:8" x14ac:dyDescent="0.2">
      <c r="A13" s="5">
        <v>46042</v>
      </c>
      <c r="B13">
        <f>(Prices!B13/Prices!B12)-1</f>
        <v>-1.1649580615097799E-2</v>
      </c>
      <c r="C13">
        <f>(Prices!C13/Prices!C12)-1</f>
        <v>-5.2266288951841489E-2</v>
      </c>
      <c r="D13">
        <f>(Prices!D13/Prices!D12)-1</f>
        <v>-7.4249605055292212E-2</v>
      </c>
      <c r="E13">
        <f>(Prices!E13/Prices!E12)-1</f>
        <v>-6.857025892948343E-3</v>
      </c>
      <c r="F13">
        <f>(Prices!F13/Prices!F12)-1</f>
        <v>-2.035682271636341E-2</v>
      </c>
      <c r="G13">
        <f>(Prices!G13/Prices!G12)-1</f>
        <v>-2.600163532297628E-2</v>
      </c>
      <c r="H13">
        <f>(Prices!H13/Prices!H12)-1</f>
        <v>-2.1247142903132454E-2</v>
      </c>
    </row>
    <row r="14" spans="1:8" x14ac:dyDescent="0.2">
      <c r="A14" s="5">
        <v>46043</v>
      </c>
      <c r="B14">
        <f>(Prices!B14/Prices!B13)-1</f>
        <v>2.7974225994027879E-2</v>
      </c>
      <c r="C14">
        <f>(Prices!C14/Prices!C13)-1</f>
        <v>1.9130174861754723E-2</v>
      </c>
      <c r="D14">
        <f>(Prices!D14/Prices!D13)-1</f>
        <v>0</v>
      </c>
      <c r="E14">
        <f>(Prices!E14/Prices!E13)-1</f>
        <v>-1.2366034624897715E-3</v>
      </c>
      <c r="F14">
        <f>(Prices!F14/Prices!F13)-1</f>
        <v>1.1541072640868899E-2</v>
      </c>
      <c r="G14">
        <f>(Prices!G14/Prices!G13)-1</f>
        <v>1.914036265950303E-2</v>
      </c>
      <c r="H14">
        <f>(Prices!H14/Prices!H13)-1</f>
        <v>1.351840278919858E-2</v>
      </c>
    </row>
    <row r="15" spans="1:8" x14ac:dyDescent="0.2">
      <c r="A15" s="5">
        <v>46044</v>
      </c>
      <c r="B15">
        <f>(Prices!B15/Prices!B14)-1</f>
        <v>7.6440911175645887E-4</v>
      </c>
      <c r="C15">
        <f>(Prices!C15/Prices!C14)-1</f>
        <v>7.5768685535513303E-3</v>
      </c>
      <c r="D15">
        <f>(Prices!D15/Prices!D14)-1</f>
        <v>-8.5324232081912532E-3</v>
      </c>
      <c r="E15">
        <f>(Prices!E15/Prices!E14)-1</f>
        <v>7.9446966570366762E-3</v>
      </c>
      <c r="F15">
        <f>(Prices!F15/Prices!F14)-1</f>
        <v>5.2232273125183415E-3</v>
      </c>
      <c r="G15">
        <f>(Prices!G15/Prices!G14)-1</f>
        <v>1.0049423393739598E-2</v>
      </c>
      <c r="H15">
        <f>(Prices!H15/Prices!H14)-1</f>
        <v>7.2694229895502449E-3</v>
      </c>
    </row>
    <row r="16" spans="1:8" x14ac:dyDescent="0.2">
      <c r="A16" s="5">
        <v>46045</v>
      </c>
      <c r="B16">
        <f>(Prices!B16/Prices!B15)-1</f>
        <v>-6.4161319890007062E-3</v>
      </c>
      <c r="C16">
        <f>(Prices!C16/Prices!C15)-1</f>
        <v>2.4257713953024229E-4</v>
      </c>
      <c r="D16">
        <f>(Prices!D16/Prices!D15)-1</f>
        <v>-1.7211703958691649E-3</v>
      </c>
      <c r="E16">
        <f>(Prices!E16/Prices!E15)-1</f>
        <v>-3.2961408537209524E-2</v>
      </c>
      <c r="F16">
        <f>(Prices!F16/Prices!F15)-1</f>
        <v>3.62855235275239E-4</v>
      </c>
      <c r="G16">
        <f>(Prices!G16/Prices!G15)-1</f>
        <v>4.159190996574802E-3</v>
      </c>
      <c r="H16">
        <f>(Prices!H16/Prices!H15)-1</f>
        <v>3.1574199368515909E-3</v>
      </c>
    </row>
    <row r="17" spans="1:8" x14ac:dyDescent="0.2">
      <c r="A17" s="5">
        <v>46048</v>
      </c>
      <c r="B17">
        <f>(Prices!B17/Prices!B16)-1</f>
        <v>-7.6875768757700413E-4</v>
      </c>
      <c r="C17">
        <f>(Prices!C17/Prices!C16)-1</f>
        <v>3.6377746519862253E-3</v>
      </c>
      <c r="D17">
        <f>(Prices!D17/Prices!D16)-1</f>
        <v>2.7586206896551779E-2</v>
      </c>
      <c r="E17">
        <f>(Prices!E17/Prices!E16)-1</f>
        <v>-1.2596591510532384E-2</v>
      </c>
      <c r="F17">
        <f>(Prices!F17/Prices!F16)-1</f>
        <v>5.0781306675564686E-3</v>
      </c>
      <c r="G17">
        <f>(Prices!G17/Prices!G16)-1</f>
        <v>-6.5784130593681267E-3</v>
      </c>
      <c r="H17">
        <f>(Prices!H17/Prices!H16)-1</f>
        <v>4.4000513874615788E-3</v>
      </c>
    </row>
    <row r="18" spans="1:8" x14ac:dyDescent="0.2">
      <c r="A18" s="5">
        <v>46049</v>
      </c>
      <c r="B18">
        <f>(Prices!B18/Prices!B17)-1</f>
        <v>-2.9235266964148243E-2</v>
      </c>
      <c r="C18">
        <f>(Prices!C18/Prices!C17)-1</f>
        <v>-1.024550550937553E-2</v>
      </c>
      <c r="D18">
        <f>(Prices!D18/Prices!D17)-1</f>
        <v>-1.5100671140939603E-2</v>
      </c>
      <c r="E18">
        <f>(Prices!E18/Prices!E17)-1</f>
        <v>-6.4322469982847075E-3</v>
      </c>
      <c r="F18">
        <f>(Prices!F18/Prices!F17)-1</f>
        <v>3.9842362825344146E-3</v>
      </c>
      <c r="G18">
        <f>(Prices!G18/Prices!G17)-1</f>
        <v>3.0248528449967615E-3</v>
      </c>
      <c r="H18">
        <f>(Prices!H18/Prices!H17)-1</f>
        <v>9.0653279186518887E-3</v>
      </c>
    </row>
    <row r="19" spans="1:8" x14ac:dyDescent="0.2">
      <c r="A19" s="5">
        <v>46050</v>
      </c>
      <c r="B19">
        <f>(Prices!B19/Prices!B18)-1</f>
        <v>-1.3472816611190375E-2</v>
      </c>
      <c r="C19">
        <f>(Prices!C19/Prices!C18)-1</f>
        <v>-1.5625000000001332E-3</v>
      </c>
      <c r="D19">
        <f>(Prices!D19/Prices!D18)-1</f>
        <v>-5.110732538330498E-3</v>
      </c>
      <c r="E19">
        <f>(Prices!E19/Prices!E18)-1</f>
        <v>-1.1329305135951762E-2</v>
      </c>
      <c r="F19">
        <f>(Prices!F19/Prices!F18)-1</f>
        <v>-1.0064846367319191E-4</v>
      </c>
      <c r="G19">
        <f>(Prices!G19/Prices!G18)-1</f>
        <v>-7.4985736408835768E-3</v>
      </c>
      <c r="H19">
        <f>(Prices!H19/Prices!H18)-1</f>
        <v>3.3115206058973445E-3</v>
      </c>
    </row>
    <row r="20" spans="1:8" x14ac:dyDescent="0.2">
      <c r="A20" s="5">
        <v>46051</v>
      </c>
      <c r="B20">
        <f>(Prices!B20/Prices!B19)-1</f>
        <v>5.7840616966580161E-3</v>
      </c>
      <c r="C20">
        <f>(Prices!C20/Prices!C19)-1</f>
        <v>8.3137715179981697E-4</v>
      </c>
      <c r="D20">
        <f>(Prices!D20/Prices!D19)-1</f>
        <v>-1.8835616438356073E-2</v>
      </c>
      <c r="E20">
        <f>(Prices!E20/Prices!E19)-1</f>
        <v>1.5278838808250317E-3</v>
      </c>
      <c r="F20">
        <f>(Prices!F20/Prices!F19)-1</f>
        <v>-1.9844122976042655E-3</v>
      </c>
      <c r="G20">
        <f>(Prices!G20/Prices!G19)-1</f>
        <v>-4.7630779338095897E-3</v>
      </c>
      <c r="H20">
        <f>(Prices!H20/Prices!H19)-1</f>
        <v>-5.9852815767033052E-3</v>
      </c>
    </row>
    <row r="21" spans="1:8" x14ac:dyDescent="0.2">
      <c r="A21" s="5">
        <v>46052</v>
      </c>
      <c r="B21">
        <f>(Prices!B21/Prices!B20)-1</f>
        <v>-1.2619808306709279E-2</v>
      </c>
      <c r="C21">
        <f>(Prices!C21/Prices!C20)-1</f>
        <v>-1.4708038113853017E-2</v>
      </c>
      <c r="D21">
        <f>(Prices!D21/Prices!D20)-1</f>
        <v>-2.4432809773124009E-2</v>
      </c>
      <c r="E21">
        <f>(Prices!E21/Prices!E20)-1</f>
        <v>-7.9546692819002507E-3</v>
      </c>
      <c r="F21">
        <f>(Prices!F21/Prices!F20)-1</f>
        <v>-2.9825370295659681E-3</v>
      </c>
      <c r="G21">
        <f>(Prices!G21/Prices!G20)-1</f>
        <v>-1.650301179965119E-4</v>
      </c>
      <c r="H21">
        <f>(Prices!H21/Prices!H20)-1</f>
        <v>-1.2010866974881962E-2</v>
      </c>
    </row>
    <row r="22" spans="1:8" x14ac:dyDescent="0.2">
      <c r="A22" s="5">
        <v>46055</v>
      </c>
      <c r="B22">
        <f>(Prices!B22/Prices!B21)-1</f>
        <v>5.9860863937872821E-3</v>
      </c>
      <c r="C22">
        <f>(Prices!C22/Prices!C21)-1</f>
        <v>2.6185280698274083E-2</v>
      </c>
      <c r="D22">
        <f>(Prices!D22/Prices!D21)-1</f>
        <v>3.0411449016100267E-2</v>
      </c>
      <c r="E22">
        <f>(Prices!E22/Prices!E21)-1</f>
        <v>2.6362038664322629E-3</v>
      </c>
      <c r="F22">
        <f>(Prices!F22/Prices!F21)-1</f>
        <v>4.9713137852795963E-3</v>
      </c>
      <c r="G22">
        <f>(Prices!G22/Prices!G21)-1</f>
        <v>6.6022942972683296E-3</v>
      </c>
      <c r="H22">
        <f>(Prices!H22/Prices!H21)-1</f>
        <v>6.8663868654219584E-3</v>
      </c>
    </row>
    <row r="23" spans="1:8" x14ac:dyDescent="0.2">
      <c r="A23" s="5">
        <v>46056</v>
      </c>
      <c r="B23">
        <f>(Prices!B23/Prices!B22)-1</f>
        <v>-2.0102926986169223E-2</v>
      </c>
      <c r="C23">
        <f>(Prices!C23/Prices!C22)-1</f>
        <v>-2.7546878020490939E-2</v>
      </c>
      <c r="D23">
        <f>(Prices!D23/Prices!D22)-1</f>
        <v>-6.9444444444444198E-3</v>
      </c>
      <c r="E23">
        <f>(Prices!E23/Prices!E22)-1</f>
        <v>-5.6967572304995606E-3</v>
      </c>
      <c r="F23">
        <f>(Prices!F23/Prices!F22)-1</f>
        <v>-8.4554435512862458E-3</v>
      </c>
      <c r="G23">
        <f>(Prices!G23/Prices!G22)-1</f>
        <v>-8.0347626465524513E-3</v>
      </c>
      <c r="H23">
        <f>(Prices!H23/Prices!H22)-1</f>
        <v>-1.536397610757978E-2</v>
      </c>
    </row>
    <row r="24" spans="1:8" x14ac:dyDescent="0.2">
      <c r="A24" s="5">
        <v>46057</v>
      </c>
      <c r="B24">
        <f>(Prices!B24/Prices!B23)-1</f>
        <v>5.3996389299195702E-2</v>
      </c>
      <c r="C24">
        <f>(Prices!C24/Prices!C23)-1</f>
        <v>2.0077527084782831E-2</v>
      </c>
      <c r="D24">
        <f>(Prices!D24/Prices!D23)-1</f>
        <v>3.3216783216783341E-2</v>
      </c>
      <c r="E24">
        <f>(Prices!E24/Prices!E23)-1</f>
        <v>1.5645658880564239E-2</v>
      </c>
      <c r="F24">
        <f>(Prices!F24/Prices!F23)-1</f>
        <v>-4.8438791640681433E-3</v>
      </c>
      <c r="G24">
        <f>(Prices!G24/Prices!G23)-1</f>
        <v>-7.3559798330440351E-3</v>
      </c>
      <c r="H24">
        <f>(Prices!H24/Prices!H23)-1</f>
        <v>-1.7469019658729601E-2</v>
      </c>
    </row>
    <row r="25" spans="1:8" x14ac:dyDescent="0.2">
      <c r="A25" s="5">
        <v>46058</v>
      </c>
      <c r="B25">
        <f>(Prices!B25/Prices!B24)-1</f>
        <v>-2.3668639053254337E-2</v>
      </c>
      <c r="C25">
        <f>(Prices!C25/Prices!C24)-1</f>
        <v>-3.2008184741303736E-2</v>
      </c>
      <c r="D25">
        <f>(Prices!D25/Prices!D24)-1</f>
        <v>-0.25719120135363793</v>
      </c>
      <c r="E25">
        <f>(Prices!E25/Prices!E24)-1</f>
        <v>-1.7031894120199675E-2</v>
      </c>
      <c r="F25">
        <f>(Prices!F25/Prices!F24)-1</f>
        <v>-1.2489252247919747E-2</v>
      </c>
      <c r="G25">
        <f>(Prices!G25/Prices!G24)-1</f>
        <v>-2.156536219816807E-2</v>
      </c>
      <c r="H25">
        <f>(Prices!H25/Prices!H24)-1</f>
        <v>-1.4395377631035933E-2</v>
      </c>
    </row>
    <row r="26" spans="1:8" x14ac:dyDescent="0.2">
      <c r="A26" s="5">
        <v>46059</v>
      </c>
      <c r="B26">
        <f>(Prices!B26/Prices!B25)-1</f>
        <v>1.9457735247208952E-2</v>
      </c>
      <c r="C26">
        <f>(Prices!C26/Prices!C25)-1</f>
        <v>1.8319995973627323E-2</v>
      </c>
      <c r="D26">
        <f>(Prices!D26/Prices!D25)-1</f>
        <v>5.3530751708428248E-2</v>
      </c>
      <c r="E26">
        <f>(Prices!E26/Prices!E25)-1</f>
        <v>1.1036309458117177E-2</v>
      </c>
      <c r="F26">
        <f>(Prices!F26/Prices!F25)-1</f>
        <v>1.9184793837254022E-2</v>
      </c>
      <c r="G26">
        <f>(Prices!G26/Prices!G25)-1</f>
        <v>4.0847587439365451E-3</v>
      </c>
      <c r="H26">
        <f>(Prices!H26/Prices!H25)-1</f>
        <v>2.1137966266351782E-2</v>
      </c>
    </row>
    <row r="27" spans="1:8" x14ac:dyDescent="0.2">
      <c r="A27" s="5">
        <v>46062</v>
      </c>
      <c r="B27">
        <f>(Prices!B27/Prices!B26)-1</f>
        <v>-2.3623279098873629E-2</v>
      </c>
      <c r="C27">
        <f>(Prices!C27/Prices!C26)-1</f>
        <v>1.8286956951514721E-2</v>
      </c>
      <c r="D27">
        <f>(Prices!D27/Prices!D26)-1</f>
        <v>-4.8648648648648596E-2</v>
      </c>
      <c r="E27">
        <f>(Prices!E27/Prices!E26)-1</f>
        <v>9.8242549939975277E-4</v>
      </c>
      <c r="F27">
        <f>(Prices!F27/Prices!F26)-1</f>
        <v>4.8217543656425832E-3</v>
      </c>
      <c r="G27">
        <f>(Prices!G27/Prices!G26)-1</f>
        <v>-3.7291295872531327E-3</v>
      </c>
      <c r="H27">
        <f>(Prices!H27/Prices!H26)-1</f>
        <v>7.6601328631182852E-3</v>
      </c>
    </row>
    <row r="28" spans="1:8" x14ac:dyDescent="0.2">
      <c r="A28" s="5">
        <v>46063</v>
      </c>
      <c r="B28">
        <f>(Prices!B28/Prices!B27)-1</f>
        <v>1.0094536132030152E-2</v>
      </c>
      <c r="C28">
        <f>(Prices!C28/Prices!C27)-1</f>
        <v>1.1551715769548165E-2</v>
      </c>
      <c r="D28">
        <f>(Prices!D28/Prices!D27)-1</f>
        <v>-1.1363636363636576E-2</v>
      </c>
      <c r="E28">
        <f>(Prices!E28/Prices!E27)-1</f>
        <v>1.4285714285714235E-2</v>
      </c>
      <c r="F28">
        <f>(Prices!F28/Prices!F27)-1</f>
        <v>-2.6370775992506923E-3</v>
      </c>
      <c r="G28">
        <f>(Prices!G28/Prices!G27)-1</f>
        <v>6.6354742662697586E-3</v>
      </c>
      <c r="H28">
        <f>(Prices!H28/Prices!H27)-1</f>
        <v>-4.6392759473889988E-3</v>
      </c>
    </row>
    <row r="29" spans="1:8" x14ac:dyDescent="0.2">
      <c r="A29" s="5">
        <v>46064</v>
      </c>
      <c r="B29">
        <f>(Prices!B29/Prices!B28)-1</f>
        <v>-1.0945431472081157E-2</v>
      </c>
      <c r="C29">
        <f>(Prices!C29/Prices!C28)-1</f>
        <v>-8.7807686771267379E-3</v>
      </c>
      <c r="D29">
        <f>(Prices!D29/Prices!D28)-1</f>
        <v>-6.8965517241378338E-3</v>
      </c>
      <c r="E29">
        <f>(Prices!E29/Prices!E28)-1</f>
        <v>-1.0106440167723996E-2</v>
      </c>
      <c r="F29">
        <f>(Prices!F29/Prices!F28)-1</f>
        <v>-2.3117378489279083E-4</v>
      </c>
      <c r="G29">
        <f>(Prices!G29/Prices!G28)-1</f>
        <v>-4.8170370996365452E-3</v>
      </c>
      <c r="H29">
        <f>(Prices!H29/Prices!H28)-1</f>
        <v>2.6820612622042717E-3</v>
      </c>
    </row>
    <row r="30" spans="1:8" x14ac:dyDescent="0.2">
      <c r="A30" s="5">
        <v>46065</v>
      </c>
      <c r="B30">
        <f>(Prices!B30/Prices!B29)-1</f>
        <v>-2.0048115477145134E-2</v>
      </c>
      <c r="C30">
        <f>(Prices!C30/Prices!C29)-1</f>
        <v>-1.6264885274470009E-2</v>
      </c>
      <c r="D30">
        <f>(Prices!D30/Prices!D29)-1</f>
        <v>-2.0833333333333259E-2</v>
      </c>
      <c r="E30">
        <f>(Prices!E30/Prices!E29)-1</f>
        <v>-3.7037037037036979E-2</v>
      </c>
      <c r="F30">
        <f>(Prices!F30/Prices!F29)-1</f>
        <v>-1.5448869876871552E-2</v>
      </c>
      <c r="G30">
        <f>(Prices!G30/Prices!G29)-1</f>
        <v>-1.384171195652184E-2</v>
      </c>
      <c r="H30">
        <f>(Prices!H30/Prices!H29)-1</f>
        <v>-2.03389277617394E-2</v>
      </c>
    </row>
    <row r="31" spans="1:8" x14ac:dyDescent="0.2">
      <c r="A31" s="5">
        <v>46066</v>
      </c>
      <c r="B31">
        <f>(Prices!B31/Prices!B30)-1</f>
        <v>3.3224222585924723E-2</v>
      </c>
      <c r="C31">
        <f>(Prices!C31/Prices!C30)-1</f>
        <v>5.6687333923826522E-2</v>
      </c>
      <c r="D31">
        <f>(Prices!D31/Prices!D30)-1</f>
        <v>4.7281323877068626E-3</v>
      </c>
      <c r="E31">
        <f>(Prices!E31/Prices!E30)-1</f>
        <v>2.3009248815700545E-2</v>
      </c>
      <c r="F31">
        <f>(Prices!F31/Prices!F30)-1</f>
        <v>7.0456647144312434E-4</v>
      </c>
      <c r="G31">
        <f>(Prices!G31/Prices!G30)-1</f>
        <v>4.3055196762264991E-4</v>
      </c>
      <c r="H31">
        <f>(Prices!H31/Prices!H30)-1</f>
        <v>2.1310602024506853E-3</v>
      </c>
    </row>
    <row r="32" spans="1:8" x14ac:dyDescent="0.2">
      <c r="A32" s="5">
        <v>46070</v>
      </c>
      <c r="B32">
        <f>(Prices!B32/Prices!B31)-1</f>
        <v>2.6770156819261759E-2</v>
      </c>
      <c r="C32">
        <f>(Prices!C32/Prices!C31)-1</f>
        <v>1.0431219148737902E-2</v>
      </c>
      <c r="D32">
        <f>(Prices!D32/Prices!D31)-1</f>
        <v>-1.4117647058823457E-2</v>
      </c>
      <c r="E32">
        <f>(Prices!E32/Prices!E31)-1</f>
        <v>2.0727673649393541E-2</v>
      </c>
      <c r="F32">
        <f>(Prices!F32/Prices!F31)-1</f>
        <v>1.6134946828016972E-3</v>
      </c>
      <c r="G32">
        <f>(Prices!G32/Prices!G31)-1</f>
        <v>-1.2050266827337008E-3</v>
      </c>
      <c r="H32">
        <f>(Prices!H32/Prices!H31)-1</f>
        <v>-1.0300372142477698E-3</v>
      </c>
    </row>
    <row r="33" spans="1:8" x14ac:dyDescent="0.2">
      <c r="A33" s="5">
        <v>46071</v>
      </c>
      <c r="B33">
        <f>(Prices!B33/Prices!B32)-1</f>
        <v>1.1261956186362276E-2</v>
      </c>
      <c r="C33">
        <f>(Prices!C33/Prices!C32)-1</f>
        <v>9.4386579408240578E-2</v>
      </c>
      <c r="D33">
        <f>(Prices!D33/Prices!D32)-1</f>
        <v>3.1026252983293423E-2</v>
      </c>
      <c r="E33">
        <f>(Prices!E33/Prices!E32)-1</f>
        <v>1.4149924389716961E-2</v>
      </c>
      <c r="F33">
        <f>(Prices!F33/Prices!F32)-1</f>
        <v>5.037709599472695E-3</v>
      </c>
      <c r="G33">
        <f>(Prices!G33/Prices!G32)-1</f>
        <v>8.4453636677006561E-3</v>
      </c>
      <c r="H33">
        <f>(Prices!H33/Prices!H32)-1</f>
        <v>7.4671544985864813E-3</v>
      </c>
    </row>
    <row r="34" spans="1:8" x14ac:dyDescent="0.2">
      <c r="A34" s="5">
        <v>46072</v>
      </c>
      <c r="B34">
        <f>(Prices!B34/Prices!B33)-1</f>
        <v>9.1533180778036183E-4</v>
      </c>
      <c r="C34">
        <f>(Prices!C34/Prices!C33)-1</f>
        <v>9.8542912490524603E-3</v>
      </c>
      <c r="D34">
        <f>(Prices!D34/Prices!D33)-1</f>
        <v>2.314814814814814E-2</v>
      </c>
      <c r="E34">
        <f>(Prices!E34/Prices!E33)-1</f>
        <v>-2.9396101821280274E-2</v>
      </c>
      <c r="F34">
        <f>(Prices!F34/Prices!F33)-1</f>
        <v>-2.6373690422415441E-3</v>
      </c>
      <c r="G34">
        <f>(Prices!G34/Prices!G33)-1</f>
        <v>-6.6655272602973437E-3</v>
      </c>
      <c r="H34">
        <f>(Prices!H34/Prices!H33)-1</f>
        <v>-3.8297099654994726E-3</v>
      </c>
    </row>
    <row r="35" spans="1:8" x14ac:dyDescent="0.2">
      <c r="A35" s="5">
        <v>46073</v>
      </c>
      <c r="B35">
        <f>(Prices!B35/Prices!B34)-1</f>
        <v>-3.2007315957932603E-3</v>
      </c>
      <c r="C35">
        <f>(Prices!C35/Prices!C34)-1</f>
        <v>3.7948290241868188E-2</v>
      </c>
      <c r="D35">
        <f>(Prices!D35/Prices!D34)-1</f>
        <v>-2.2624434389140191E-3</v>
      </c>
      <c r="E35">
        <f>(Prices!E35/Prices!E34)-1</f>
        <v>-5.267200702293362E-3</v>
      </c>
      <c r="F35">
        <f>(Prices!F35/Prices!F34)-1</f>
        <v>7.2317671809256634E-3</v>
      </c>
      <c r="G35">
        <f>(Prices!G35/Prices!G34)-1</f>
        <v>1.0409497591190808E-2</v>
      </c>
      <c r="H35">
        <f>(Prices!H35/Prices!H34)-1</f>
        <v>8.8488242994679833E-3</v>
      </c>
    </row>
    <row r="36" spans="1:8" x14ac:dyDescent="0.2">
      <c r="A36" s="5">
        <v>46076</v>
      </c>
      <c r="B36">
        <f>(Prices!B36/Prices!B35)-1</f>
        <v>-3.5321100917431236E-2</v>
      </c>
      <c r="C36">
        <f>(Prices!C36/Prices!C35)-1</f>
        <v>-7.2318200080353501E-3</v>
      </c>
      <c r="D36">
        <f>(Prices!D36/Prices!D35)-1</f>
        <v>-6.34920634920636E-2</v>
      </c>
      <c r="E36">
        <f>(Prices!E36/Prices!E35)-1</f>
        <v>1.1031439602866566E-3</v>
      </c>
      <c r="F36">
        <f>(Prices!F36/Prices!F35)-1</f>
        <v>-1.0211334000551076E-2</v>
      </c>
      <c r="G36">
        <f>(Prices!G36/Prices!G35)-1</f>
        <v>-2.0945083014048627E-2</v>
      </c>
      <c r="H36">
        <f>(Prices!H36/Prices!H35)-1</f>
        <v>-1.2154859479969082E-2</v>
      </c>
    </row>
    <row r="37" spans="1:8" x14ac:dyDescent="0.2">
      <c r="A37" s="5">
        <v>46077</v>
      </c>
      <c r="B37">
        <f>(Prices!B37/Prices!B36)-1</f>
        <v>1.5850372483753317E-2</v>
      </c>
      <c r="C37">
        <f>(Prices!C37/Prices!C36)-1</f>
        <v>1.7766086604613651E-2</v>
      </c>
      <c r="D37">
        <f>(Prices!D37/Prices!D36)-1</f>
        <v>-2.1791767554479424E-2</v>
      </c>
      <c r="E37">
        <f>(Prices!E37/Prices!E36)-1</f>
        <v>-8.9696969696969719E-2</v>
      </c>
      <c r="F37">
        <f>(Prices!F37/Prices!F36)-1</f>
        <v>7.2685707586570558E-3</v>
      </c>
      <c r="G37">
        <f>(Prices!G37/Prices!G36)-1</f>
        <v>1.5218714670840905E-2</v>
      </c>
      <c r="H37">
        <f>(Prices!H37/Prices!H36)-1</f>
        <v>1.0741424319515858E-2</v>
      </c>
    </row>
    <row r="38" spans="1:8" x14ac:dyDescent="0.2">
      <c r="A38" s="5">
        <v>46078</v>
      </c>
      <c r="B38">
        <f>(Prices!B38/Prices!B37)-1</f>
        <v>-1.0766110157590991E-2</v>
      </c>
      <c r="C38">
        <f>(Prices!C38/Prices!C37)-1</f>
        <v>1.9881506222911849E-3</v>
      </c>
      <c r="D38">
        <f>(Prices!D38/Prices!D37)-1</f>
        <v>1.980198019801982E-2</v>
      </c>
      <c r="E38">
        <f>(Prices!E38/Prices!E37)-1</f>
        <v>-3.0988984384457074E-2</v>
      </c>
      <c r="F38">
        <f>(Prices!F38/Prices!F37)-1</f>
        <v>8.4382046992070858E-3</v>
      </c>
      <c r="G38">
        <f>(Prices!G38/Prices!G37)-1</f>
        <v>2.9981154702758417E-3</v>
      </c>
      <c r="H38">
        <f>(Prices!H38/Prices!H37)-1</f>
        <v>1.4493230460460138E-2</v>
      </c>
    </row>
    <row r="39" spans="1:8" x14ac:dyDescent="0.2">
      <c r="A39" s="5">
        <v>46079</v>
      </c>
      <c r="B39">
        <f>(Prices!B39/Prices!B38)-1</f>
        <v>8.6750788643534804E-3</v>
      </c>
      <c r="C39">
        <f>(Prices!C39/Prices!C38)-1</f>
        <v>8.6114528354299669E-3</v>
      </c>
      <c r="D39">
        <f>(Prices!D39/Prices!D38)-1</f>
        <v>-9.7087378640776656E-3</v>
      </c>
      <c r="E39">
        <f>(Prices!E39/Prices!E38)-1</f>
        <v>4.6470955652716972E-2</v>
      </c>
      <c r="F39">
        <f>(Prices!F39/Prices!F38)-1</f>
        <v>-5.5543533145784307E-3</v>
      </c>
      <c r="G39">
        <f>(Prices!G39/Prices!G38)-1</f>
        <v>-3.4161755914263736E-4</v>
      </c>
      <c r="H39">
        <f>(Prices!H39/Prices!H38)-1</f>
        <v>-1.2064604008561908E-2</v>
      </c>
    </row>
    <row r="40" spans="1:8" x14ac:dyDescent="0.2">
      <c r="A40" s="5">
        <v>46080</v>
      </c>
      <c r="B40">
        <f>(Prices!B40/Prices!B39)-1</f>
        <v>-2.7677873338545766E-2</v>
      </c>
      <c r="C40">
        <f>(Prices!C40/Prices!C39)-1</f>
        <v>-5.2329241422724992E-3</v>
      </c>
      <c r="D40">
        <f>(Prices!D40/Prices!D39)-1</f>
        <v>-1.4705882352941346E-2</v>
      </c>
      <c r="E40">
        <f>(Prices!E40/Prices!E39)-1</f>
        <v>-1.9338665393338839E-2</v>
      </c>
      <c r="F40">
        <f>(Prices!F40/Prices!F39)-1</f>
        <v>-4.8019730161031893E-3</v>
      </c>
      <c r="G40">
        <f>(Prices!G40/Prices!G39)-1</f>
        <v>-1.6232379325074042E-3</v>
      </c>
      <c r="H40">
        <f>(Prices!H40/Prices!H39)-1</f>
        <v>-3.2007090801655647E-3</v>
      </c>
    </row>
    <row r="41" spans="1:8" x14ac:dyDescent="0.2">
      <c r="A41" s="5">
        <v>46083</v>
      </c>
      <c r="B41">
        <f>(Prices!B41/Prices!B40)-1</f>
        <v>-1.8816339659054382E-2</v>
      </c>
      <c r="C41">
        <f>(Prices!C41/Prices!C40)-1</f>
        <v>9.2156785191630508E-3</v>
      </c>
      <c r="D41">
        <f>(Prices!D41/Prices!D40)-1</f>
        <v>-2.9850746268656581E-2</v>
      </c>
      <c r="E41">
        <f>(Prices!E41/Prices!E40)-1</f>
        <v>-3.7735849056603765E-3</v>
      </c>
      <c r="F41">
        <f>(Prices!F41/Prices!F40)-1</f>
        <v>5.6852140701768583E-4</v>
      </c>
      <c r="G41">
        <f>(Prices!G41/Prices!G40)-1</f>
        <v>-1.2322437104227313E-2</v>
      </c>
      <c r="H41">
        <f>(Prices!H41/Prices!H40)-1</f>
        <v>1.3173278005567113E-3</v>
      </c>
    </row>
    <row r="42" spans="1:8" x14ac:dyDescent="0.2">
      <c r="A42" s="5">
        <v>46084</v>
      </c>
      <c r="B42">
        <f>(Prices!B42/Prices!B41)-1</f>
        <v>-2.6553024094410738E-2</v>
      </c>
      <c r="C42">
        <f>(Prices!C42/Prices!C41)-1</f>
        <v>-1.7518419815018005E-2</v>
      </c>
      <c r="D42">
        <f>(Prices!D42/Prices!D41)-1</f>
        <v>2.564102564102555E-3</v>
      </c>
      <c r="E42">
        <f>(Prices!E42/Prices!E41)-1</f>
        <v>1.2096774193548265E-2</v>
      </c>
      <c r="F42">
        <f>(Prices!F42/Prices!F41)-1</f>
        <v>-8.8143593927560993E-3</v>
      </c>
      <c r="G42">
        <f>(Prices!G42/Prices!G41)-1</f>
        <v>-9.1838502859122872E-3</v>
      </c>
      <c r="H42">
        <f>(Prices!H42/Prices!H41)-1</f>
        <v>-1.0705652123863207E-2</v>
      </c>
    </row>
    <row r="43" spans="1:8" x14ac:dyDescent="0.2">
      <c r="A43" s="5">
        <v>46085</v>
      </c>
      <c r="B43">
        <f>(Prices!B43/Prices!B42)-1</f>
        <v>-1.2628388617612396E-2</v>
      </c>
      <c r="C43">
        <f>(Prices!C43/Prices!C42)-1</f>
        <v>1.9546052894012789E-3</v>
      </c>
      <c r="D43">
        <f>(Prices!D43/Prices!D42)-1</f>
        <v>-1.5345268542199531E-2</v>
      </c>
      <c r="E43">
        <f>(Prices!E43/Prices!E42)-1</f>
        <v>-1.7385005432814182E-2</v>
      </c>
      <c r="F43">
        <f>(Prices!F43/Prices!F42)-1</f>
        <v>7.0553995854951701E-3</v>
      </c>
      <c r="G43">
        <f>(Prices!G43/Prices!G42)-1</f>
        <v>1.7750961874781312E-2</v>
      </c>
      <c r="H43">
        <f>(Prices!H43/Prices!H42)-1</f>
        <v>1.5243192925296745E-2</v>
      </c>
    </row>
    <row r="44" spans="1:8" x14ac:dyDescent="0.2">
      <c r="A44" s="5">
        <v>46086</v>
      </c>
      <c r="B44">
        <f>(Prices!B44/Prices!B43)-1</f>
        <v>-1.0572987721691685E-2</v>
      </c>
      <c r="C44">
        <f>(Prices!C44/Prices!C43)-1</f>
        <v>-4.3833107731507392E-2</v>
      </c>
      <c r="D44">
        <f>(Prices!D44/Prices!D43)-1</f>
        <v>-5.1948051948051965E-3</v>
      </c>
      <c r="E44">
        <f>(Prices!E44/Prices!E43)-1</f>
        <v>-1.781545644428062E-2</v>
      </c>
      <c r="F44">
        <f>(Prices!F44/Prices!F43)-1</f>
        <v>-5.5755841957001451E-3</v>
      </c>
      <c r="G44">
        <f>(Prices!G44/Prices!G43)-1</f>
        <v>1.3746885471259684E-3</v>
      </c>
      <c r="H44">
        <f>(Prices!H44/Prices!H43)-1</f>
        <v>-3.0126893164142965E-3</v>
      </c>
    </row>
    <row r="45" spans="1:8" x14ac:dyDescent="0.2">
      <c r="A45" s="5">
        <v>46087</v>
      </c>
      <c r="B45">
        <f>(Prices!B45/Prices!B44)-1</f>
        <v>-1.7407790417097613E-2</v>
      </c>
      <c r="C45">
        <f>(Prices!C45/Prices!C44)-1</f>
        <v>1.3781904484323704E-2</v>
      </c>
      <c r="D45">
        <f>(Prices!D45/Prices!D44)-1</f>
        <v>0</v>
      </c>
      <c r="E45">
        <f>(Prices!E45/Prices!E44)-1</f>
        <v>-1.6012009006755035E-2</v>
      </c>
      <c r="F45">
        <f>(Prices!F45/Prices!F44)-1</f>
        <v>-1.3107102493725264E-2</v>
      </c>
      <c r="G45">
        <f>(Prices!G45/Prices!G44)-1</f>
        <v>-1.8103818103818115E-2</v>
      </c>
      <c r="H45">
        <f>(Prices!H45/Prices!H44)-1</f>
        <v>-1.5043274047067623E-2</v>
      </c>
    </row>
    <row r="46" spans="1:8" x14ac:dyDescent="0.2">
      <c r="A46" s="5">
        <v>46090</v>
      </c>
      <c r="B46">
        <f>(Prices!B46/Prices!B45)-1</f>
        <v>-8.4195755130678229E-3</v>
      </c>
      <c r="C46">
        <f>(Prices!C46/Prices!C45)-1</f>
        <v>-3.4910464925250739E-3</v>
      </c>
      <c r="D46">
        <f>(Prices!D46/Prices!D45)-1</f>
        <v>7.8328981723236879E-3</v>
      </c>
      <c r="E46">
        <f>(Prices!E46/Prices!E45)-1</f>
        <v>-9.7889651665394872E-3</v>
      </c>
      <c r="F46">
        <f>(Prices!F46/Prices!F45)-1</f>
        <v>8.7599274219933854E-3</v>
      </c>
      <c r="G46">
        <f>(Prices!G46/Prices!G45)-1</f>
        <v>1.3107305138064795E-3</v>
      </c>
      <c r="H46">
        <f>(Prices!H46/Prices!H45)-1</f>
        <v>1.3355564818674504E-2</v>
      </c>
    </row>
    <row r="47" spans="1:8" x14ac:dyDescent="0.2">
      <c r="A47" s="5">
        <v>46091</v>
      </c>
      <c r="B47">
        <f>(Prices!B47/Prices!B46)-1</f>
        <v>-7.9603750221122205E-3</v>
      </c>
      <c r="C47">
        <f>(Prices!C47/Prices!C46)-1</f>
        <v>-5.3167374191155359E-3</v>
      </c>
      <c r="D47">
        <f>(Prices!D47/Prices!D46)-1</f>
        <v>-3.8860103626943032E-2</v>
      </c>
      <c r="E47">
        <f>(Prices!E47/Prices!E46)-1</f>
        <v>-2.0541789703427793E-2</v>
      </c>
      <c r="F47">
        <f>(Prices!F47/Prices!F46)-1</f>
        <v>-1.6070296489598679E-3</v>
      </c>
      <c r="G47">
        <f>(Prices!G47/Prices!G46)-1</f>
        <v>-1.3090147482328618E-3</v>
      </c>
      <c r="H47">
        <f>(Prices!H47/Prices!H46)-1</f>
        <v>1.6453863367127397E-5</v>
      </c>
    </row>
    <row r="48" spans="1:8" x14ac:dyDescent="0.2">
      <c r="A48" s="5">
        <v>46092</v>
      </c>
      <c r="B48">
        <f>(Prices!B48/Prices!B47)-1</f>
        <v>-6.7760342368045068E-3</v>
      </c>
      <c r="C48">
        <f>(Prices!C48/Prices!C47)-1</f>
        <v>-2.1753542719814334E-2</v>
      </c>
      <c r="D48">
        <f>(Prices!D48/Prices!D47)-1</f>
        <v>4.0431266846361114E-2</v>
      </c>
      <c r="E48">
        <f>(Prices!E48/Prices!E47)-1</f>
        <v>2.1365840870362973E-2</v>
      </c>
      <c r="F48">
        <f>(Prices!F48/Prices!F47)-1</f>
        <v>-1.2552054106735877E-3</v>
      </c>
      <c r="G48">
        <f>(Prices!G48/Prices!G47)-1</f>
        <v>-2.621461027612737E-3</v>
      </c>
      <c r="H48">
        <f>(Prices!H48/Prices!H47)-1</f>
        <v>-1.3162874113548106E-4</v>
      </c>
    </row>
    <row r="49" spans="1:8" x14ac:dyDescent="0.2">
      <c r="A49" s="5">
        <v>46093</v>
      </c>
      <c r="B49">
        <f>(Prices!B49/Prices!B48)-1</f>
        <v>-2.818671454219035E-2</v>
      </c>
      <c r="C49">
        <f>(Prices!C49/Prices!C48)-1</f>
        <v>-1.5248422211868728E-3</v>
      </c>
      <c r="D49">
        <f>(Prices!D49/Prices!D48)-1</f>
        <v>-2.3316062176165775E-2</v>
      </c>
      <c r="E49">
        <f>(Prices!E49/Prices!E48)-1</f>
        <v>-4.0554414784394255E-2</v>
      </c>
      <c r="F49">
        <f>(Prices!F49/Prices!F48)-1</f>
        <v>-1.5184894947732785E-2</v>
      </c>
      <c r="G49">
        <f>(Prices!G49/Prices!G48)-1</f>
        <v>-2.2954266690029868E-2</v>
      </c>
      <c r="H49">
        <f>(Prices!H49/Prices!H48)-1</f>
        <v>-1.7163356316543088E-2</v>
      </c>
    </row>
    <row r="50" spans="1:8" x14ac:dyDescent="0.2">
      <c r="A50" s="5">
        <v>46094</v>
      </c>
      <c r="B50">
        <f>(Prices!B50/Prices!B49)-1</f>
        <v>-2.7711065952338299E-3</v>
      </c>
      <c r="C50">
        <f>(Prices!C50/Prices!C49)-1</f>
        <v>-9.3751325669196861E-3</v>
      </c>
      <c r="D50">
        <f>(Prices!D50/Prices!D49)-1</f>
        <v>-1.5915119363395291E-2</v>
      </c>
      <c r="E50">
        <f>(Prices!E50/Prices!E49)-1</f>
        <v>-1.5248796147672605E-2</v>
      </c>
      <c r="F50">
        <f>(Prices!F50/Prices!F49)-1</f>
        <v>-5.6601507371707438E-3</v>
      </c>
      <c r="G50">
        <f>(Prices!G50/Prices!G49)-1</f>
        <v>-5.918220946915298E-3</v>
      </c>
      <c r="H50">
        <f>(Prices!H50/Prices!H49)-1</f>
        <v>-5.9270669390214525E-3</v>
      </c>
    </row>
    <row r="51" spans="1:8" x14ac:dyDescent="0.2">
      <c r="A51" s="5">
        <v>46097</v>
      </c>
      <c r="B51">
        <f>(Prices!B51/Prices!B50)-1</f>
        <v>1.5005557613931186E-2</v>
      </c>
      <c r="C51">
        <f>(Prices!C51/Prices!C50)-1</f>
        <v>5.6097978759850342E-3</v>
      </c>
      <c r="D51">
        <f>(Prices!D51/Prices!D50)-1</f>
        <v>4.3126684636118684E-2</v>
      </c>
      <c r="E51">
        <f>(Prices!E51/Prices!E50)-1</f>
        <v>2.281988590057038E-2</v>
      </c>
      <c r="F51">
        <f>(Prices!F51/Prices!F50)-1</f>
        <v>1.0176810762656752E-2</v>
      </c>
      <c r="G51">
        <f>(Prices!G51/Prices!G50)-1</f>
        <v>1.2087317337182046E-2</v>
      </c>
      <c r="H51">
        <f>(Prices!H51/Prices!H50)-1</f>
        <v>1.1217408879606428E-2</v>
      </c>
    </row>
    <row r="52" spans="1:8" x14ac:dyDescent="0.2">
      <c r="A52" s="5">
        <v>46098</v>
      </c>
      <c r="B52">
        <f>(Prices!B52/Prices!B51)-1</f>
        <v>6.0229968972440595E-3</v>
      </c>
      <c r="C52">
        <f>(Prices!C52/Prices!C51)-1</f>
        <v>1.1497679172165487E-3</v>
      </c>
      <c r="D52">
        <f>(Prices!D52/Prices!D51)-1</f>
        <v>6.7183462532299787E-2</v>
      </c>
      <c r="E52">
        <f>(Prices!E52/Prices!E51)-1</f>
        <v>-1.6600265604249653E-2</v>
      </c>
      <c r="F52">
        <f>(Prices!F52/Prices!F51)-1</f>
        <v>2.6306742597492772E-3</v>
      </c>
      <c r="G52">
        <f>(Prices!G52/Prices!G51)-1</f>
        <v>8.7344028520499606E-3</v>
      </c>
      <c r="H52">
        <f>(Prices!H52/Prices!H51)-1</f>
        <v>4.8802425130749505E-3</v>
      </c>
    </row>
    <row r="53" spans="1:8" x14ac:dyDescent="0.2">
      <c r="A53" s="5">
        <v>46099</v>
      </c>
      <c r="B53">
        <f>(Prices!B53/Prices!B52)-1</f>
        <v>-2.9934687953555805E-2</v>
      </c>
      <c r="C53">
        <f>(Prices!C53/Prices!C52)-1</f>
        <v>-1.4887282007656322E-2</v>
      </c>
      <c r="D53">
        <f>(Prices!D53/Prices!D52)-1</f>
        <v>-1.937046004842613E-2</v>
      </c>
      <c r="E53">
        <f>(Prices!E53/Prices!E52)-1</f>
        <v>8.102633355840716E-3</v>
      </c>
      <c r="F53">
        <f>(Prices!F53/Prices!F52)-1</f>
        <v>-1.3953696387841275E-2</v>
      </c>
      <c r="G53">
        <f>(Prices!G53/Prices!G52)-1</f>
        <v>-2.3060611415444576E-2</v>
      </c>
      <c r="H53">
        <f>(Prices!H53/Prices!H52)-1</f>
        <v>-1.3939765626294842E-2</v>
      </c>
    </row>
    <row r="54" spans="1:8" x14ac:dyDescent="0.2">
      <c r="A54" s="5">
        <v>46100</v>
      </c>
      <c r="B54">
        <f>(Prices!B54/Prices!B53)-1</f>
        <v>-5.6106227791286045E-4</v>
      </c>
      <c r="C54">
        <f>(Prices!C54/Prices!C53)-1</f>
        <v>1.5155440414507781E-2</v>
      </c>
      <c r="D54">
        <f>(Prices!D54/Prices!D53)-1</f>
        <v>2.4691358024691024E-3</v>
      </c>
      <c r="E54">
        <f>(Prices!E54/Prices!E53)-1</f>
        <v>1.862022772940386E-2</v>
      </c>
      <c r="F54">
        <f>(Prices!F54/Prices!F53)-1</f>
        <v>-2.4643575283854746E-3</v>
      </c>
      <c r="G54">
        <f>(Prices!G54/Prices!G53)-1</f>
        <v>-7.8683187121280085E-3</v>
      </c>
      <c r="H54">
        <f>(Prices!H54/Prices!H53)-1</f>
        <v>-3.1601949907547056E-3</v>
      </c>
    </row>
    <row r="55" spans="1:8" x14ac:dyDescent="0.2">
      <c r="A55" s="5">
        <v>46101</v>
      </c>
      <c r="B55">
        <f>(Prices!B55/Prices!B54)-1</f>
        <v>-2.0022455089820368E-2</v>
      </c>
      <c r="C55">
        <f>(Prices!C55/Prices!C54)-1</f>
        <v>-1.1696652630683535E-2</v>
      </c>
      <c r="D55">
        <f>(Prices!D55/Prices!D54)-1</f>
        <v>-5.4187192118226535E-2</v>
      </c>
      <c r="E55">
        <f>(Prices!E55/Prices!E54)-1</f>
        <v>-2.2356654392425068E-2</v>
      </c>
      <c r="F55">
        <f>(Prices!F55/Prices!F54)-1</f>
        <v>-1.702030918460129E-2</v>
      </c>
      <c r="G55">
        <f>(Prices!G55/Prices!G54)-1</f>
        <v>-1.7866909753874283E-2</v>
      </c>
      <c r="H55">
        <f>(Prices!H55/Prices!H54)-1</f>
        <v>-1.848167009544377E-2</v>
      </c>
    </row>
    <row r="56" spans="1:8" x14ac:dyDescent="0.2">
      <c r="A56" s="5">
        <v>46104</v>
      </c>
      <c r="B56">
        <f>(Prices!B56/Prices!B55)-1</f>
        <v>6.4922665648272648E-3</v>
      </c>
      <c r="C56">
        <f>(Prices!C56/Prices!C55)-1</f>
        <v>2.7328283697710454E-2</v>
      </c>
      <c r="D56">
        <f>(Prices!D56/Prices!D55)-1</f>
        <v>2.34375E-2</v>
      </c>
      <c r="E56">
        <f>(Prices!E56/Prices!E55)-1</f>
        <v>8.2055421038471632E-3</v>
      </c>
      <c r="F56">
        <f>(Prices!F56/Prices!F55)-1</f>
        <v>1.050002312780407E-2</v>
      </c>
      <c r="G56">
        <f>(Prices!G56/Prices!G55)-1</f>
        <v>2.2090217189530525E-2</v>
      </c>
      <c r="H56">
        <f>(Prices!H56/Prices!H55)-1</f>
        <v>1.0205133491392626E-2</v>
      </c>
    </row>
    <row r="57" spans="1:8" x14ac:dyDescent="0.2">
      <c r="A57" s="5">
        <v>46105</v>
      </c>
      <c r="B57">
        <f>(Prices!B57/Prices!B56)-1</f>
        <v>1.4797951052931246E-2</v>
      </c>
      <c r="C57">
        <f>(Prices!C57/Prices!C56)-1</f>
        <v>1.0054040467512904E-2</v>
      </c>
      <c r="D57">
        <f>(Prices!D57/Prices!D56)-1</f>
        <v>4.5801526717557328E-2</v>
      </c>
      <c r="E57">
        <f>(Prices!E57/Prices!E56)-1</f>
        <v>3.4689793195461505E-3</v>
      </c>
      <c r="F57">
        <f>(Prices!F57/Prices!F56)-1</f>
        <v>-3.3568311513931803E-3</v>
      </c>
      <c r="G57">
        <f>(Prices!G57/Prices!G56)-1</f>
        <v>-3.9956411187794805E-3</v>
      </c>
      <c r="H57">
        <f>(Prices!H57/Prices!H56)-1</f>
        <v>-6.8367346938774665E-3</v>
      </c>
    </row>
    <row r="58" spans="1:8" x14ac:dyDescent="0.2">
      <c r="A58" s="5">
        <v>46106</v>
      </c>
      <c r="B58">
        <f>(Prices!B58/Prices!B57)-1</f>
        <v>-9.534492428491359E-3</v>
      </c>
      <c r="C58">
        <f>(Prices!C58/Prices!C57)-1</f>
        <v>1.5221268300775526E-2</v>
      </c>
      <c r="D58">
        <f>(Prices!D58/Prices!D57)-1</f>
        <v>-4.8661800486619056E-3</v>
      </c>
      <c r="E58">
        <f>(Prices!E58/Prices!E57)-1</f>
        <v>-6.648052120727943E-4</v>
      </c>
      <c r="F58">
        <f>(Prices!F58/Prices!F57)-1</f>
        <v>5.5727364585567152E-3</v>
      </c>
      <c r="G58">
        <f>(Prices!G58/Prices!G57)-1</f>
        <v>9.5733041575492006E-3</v>
      </c>
      <c r="H58">
        <f>(Prices!H58/Prices!H57)-1</f>
        <v>6.5755676564267507E-3</v>
      </c>
    </row>
    <row r="59" spans="1:8" x14ac:dyDescent="0.2">
      <c r="A59" s="5">
        <v>46107</v>
      </c>
      <c r="B59">
        <f>(Prices!B59/Prices!B58)-1</f>
        <v>-1.7176292940732307E-2</v>
      </c>
      <c r="C59">
        <f>(Prices!C59/Prices!C58)-1</f>
        <v>-3.5582972465070695E-2</v>
      </c>
      <c r="D59">
        <f>(Prices!D59/Prices!D58)-1</f>
        <v>-4.8899755501221609E-3</v>
      </c>
      <c r="E59">
        <f>(Prices!E59/Prices!E58)-1</f>
        <v>3.1931878658861823E-3</v>
      </c>
      <c r="F59">
        <f>(Prices!F59/Prices!F58)-1</f>
        <v>-1.7858774093358898E-2</v>
      </c>
      <c r="G59">
        <f>(Prices!G59/Prices!G58)-1</f>
        <v>-1.7158854872211693E-2</v>
      </c>
      <c r="H59">
        <f>(Prices!H59/Prices!H58)-1</f>
        <v>-2.3867850702596227E-2</v>
      </c>
    </row>
    <row r="60" spans="1:8" x14ac:dyDescent="0.2">
      <c r="A60" s="5">
        <v>46108</v>
      </c>
      <c r="B60">
        <f>(Prices!B60/Prices!B59)-1</f>
        <v>-1.3443441521029387E-2</v>
      </c>
      <c r="C60">
        <f>(Prices!C60/Prices!C59)-1</f>
        <v>-2.5034947261405538E-2</v>
      </c>
      <c r="D60">
        <f>(Prices!D60/Prices!D59)-1</f>
        <v>8.8452088452088296E-2</v>
      </c>
      <c r="E60">
        <f>(Prices!E60/Prices!E59)-1</f>
        <v>-2.1220159151193796E-2</v>
      </c>
      <c r="F60">
        <f>(Prices!F60/Prices!F59)-1</f>
        <v>-1.7051884233207804E-2</v>
      </c>
      <c r="G60">
        <f>(Prices!G60/Prices!G59)-1</f>
        <v>-2.8944224937976548E-2</v>
      </c>
      <c r="H60">
        <f>(Prices!H60/Prices!H59)-1</f>
        <v>-1.9536764321441469E-2</v>
      </c>
    </row>
    <row r="61" spans="1:8" x14ac:dyDescent="0.2">
      <c r="A61" s="5">
        <v>46111</v>
      </c>
      <c r="B61">
        <f>(Prices!B61/Prices!B60)-1</f>
        <v>-2.5306599182400857E-3</v>
      </c>
      <c r="C61">
        <f>(Prices!C61/Prices!C60)-1</f>
        <v>-1.8074383037886665E-2</v>
      </c>
      <c r="D61">
        <f>(Prices!D61/Prices!D60)-1</f>
        <v>-9.7065462753950227E-2</v>
      </c>
      <c r="E61">
        <f>(Prices!E61/Prices!E60)-1</f>
        <v>-9.4850948509472843E-4</v>
      </c>
      <c r="F61">
        <f>(Prices!F61/Prices!F60)-1</f>
        <v>-3.3433739689949782E-3</v>
      </c>
      <c r="G61">
        <f>(Prices!G61/Prices!G60)-1</f>
        <v>-1.8925056775176419E-4</v>
      </c>
      <c r="H61">
        <f>(Prices!H61/Prices!H60)-1</f>
        <v>-7.6433573891714346E-3</v>
      </c>
    </row>
    <row r="62" spans="1:8" x14ac:dyDescent="0.2">
      <c r="A62" s="5">
        <v>46112</v>
      </c>
      <c r="B62">
        <f>(Prices!B62/Prices!B61)-1</f>
        <v>3.0835284933645513E-2</v>
      </c>
      <c r="C62">
        <f>(Prices!C62/Prices!C61)-1</f>
        <v>2.6592920353982308E-2</v>
      </c>
      <c r="D62">
        <f>(Prices!D62/Prices!D61)-1</f>
        <v>7.2500000000000009E-2</v>
      </c>
      <c r="E62">
        <f>(Prices!E62/Prices!E61)-1</f>
        <v>8.8159500881592745E-3</v>
      </c>
      <c r="F62">
        <f>(Prices!F62/Prices!F61)-1</f>
        <v>2.9067835498520544E-2</v>
      </c>
      <c r="G62">
        <f>(Prices!G62/Prices!G61)-1</f>
        <v>3.1421540791217284E-2</v>
      </c>
      <c r="H62">
        <f>(Prices!H62/Prices!H61)-1</f>
        <v>3.3853980081679502E-2</v>
      </c>
    </row>
    <row r="63" spans="1:8" x14ac:dyDescent="0.2">
      <c r="A63" s="5">
        <v>46113</v>
      </c>
      <c r="B63">
        <f>(Prices!B63/Prices!B62)-1</f>
        <v>-0.15505490344566453</v>
      </c>
      <c r="C63">
        <f>(Prices!C63/Prices!C62)-1</f>
        <v>2.39644842894704E-2</v>
      </c>
      <c r="D63">
        <f>(Prices!D63/Prices!D62)-1</f>
        <v>2.3310023310023631E-3</v>
      </c>
      <c r="E63">
        <f>(Prices!E63/Prices!E62)-1</f>
        <v>-3.0115622479160997E-2</v>
      </c>
      <c r="F63">
        <f>(Prices!F63/Prices!F62)-1</f>
        <v>7.5345204047112535E-3</v>
      </c>
      <c r="G63">
        <f>(Prices!G63/Prices!G62)-1</f>
        <v>7.5243163883280673E-3</v>
      </c>
      <c r="H63">
        <f>(Prices!H63/Prices!H62)-1</f>
        <v>1.2353165390346144E-2</v>
      </c>
    </row>
    <row r="64" spans="1:8" x14ac:dyDescent="0.2">
      <c r="A64" s="5">
        <v>46114</v>
      </c>
      <c r="B64">
        <f>(Prices!B64/Prices!B63)-1</f>
        <v>-9.8588393457317292E-3</v>
      </c>
      <c r="C64">
        <f>(Prices!C64/Prices!C63)-1</f>
        <v>3.36742854737615E-4</v>
      </c>
      <c r="D64">
        <f>(Prices!D64/Prices!D63)-1</f>
        <v>6.5116279069767469E-2</v>
      </c>
      <c r="E64">
        <f>(Prices!E64/Prices!E63)-1</f>
        <v>1.5941225395065262E-2</v>
      </c>
      <c r="F64">
        <f>(Prices!F64/Prices!F63)-1</f>
        <v>9.0043342897261347E-4</v>
      </c>
      <c r="G64">
        <f>(Prices!G64/Prices!G63)-1</f>
        <v>-1.5027322404371546E-2</v>
      </c>
      <c r="H64">
        <f>(Prices!H64/Prices!H63)-1</f>
        <v>1.1466516061680032E-3</v>
      </c>
    </row>
    <row r="65" spans="1:8" x14ac:dyDescent="0.2">
      <c r="A65" s="5">
        <v>46118</v>
      </c>
      <c r="B65">
        <f>(Prices!B65/Prices!B64)-1</f>
        <v>-3.6207286716450904E-3</v>
      </c>
      <c r="C65">
        <f>(Prices!C65/Prices!C64)-1</f>
        <v>2.1628445192509949E-2</v>
      </c>
      <c r="D65">
        <f>(Prices!D65/Prices!D64)-1</f>
        <v>1.5283842794759916E-2</v>
      </c>
      <c r="E65">
        <f>(Prices!E65/Prices!E64)-1</f>
        <v>2.5924409878563814E-3</v>
      </c>
      <c r="F65">
        <f>(Prices!F65/Prices!F64)-1</f>
        <v>4.7268346980160469E-3</v>
      </c>
      <c r="G65">
        <f>(Prices!G65/Prices!G64)-1</f>
        <v>8.2293111419324827E-3</v>
      </c>
      <c r="H65">
        <f>(Prices!H65/Prices!H64)-1</f>
        <v>6.0172997367431424E-3</v>
      </c>
    </row>
    <row r="66" spans="1:8" x14ac:dyDescent="0.2">
      <c r="A66" s="5">
        <v>46119</v>
      </c>
      <c r="B66">
        <f>(Prices!B66/Prices!B65)-1</f>
        <v>-3.0433795139677589E-2</v>
      </c>
      <c r="C66">
        <f>(Prices!C66/Prices!C65)-1</f>
        <v>-6.2605543885662085E-3</v>
      </c>
      <c r="D66">
        <f>(Prices!D66/Prices!D65)-1</f>
        <v>3.4408602150537426E-2</v>
      </c>
      <c r="E66">
        <f>(Prices!E66/Prices!E65)-1</f>
        <v>1.0342950462710832E-2</v>
      </c>
      <c r="F66">
        <f>(Prices!F66/Prices!F65)-1</f>
        <v>4.4010744692157822E-4</v>
      </c>
      <c r="G66">
        <f>(Prices!G66/Prices!G65)-1</f>
        <v>-1.1647101980924557E-2</v>
      </c>
      <c r="H66">
        <f>(Prices!H66/Prices!H65)-1</f>
        <v>1.5293118096870728E-4</v>
      </c>
    </row>
  </sheetData>
  <sortState xmlns:xlrd2="http://schemas.microsoft.com/office/spreadsheetml/2017/richdata2" ref="A2:E21">
    <sortCondition ref="A2:A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4475-FEEF-9A44-8862-6908E8748876}">
  <dimension ref="A1:G5"/>
  <sheetViews>
    <sheetView zoomScale="150" zoomScaleNormal="150" workbookViewId="0">
      <selection activeCell="D12" sqref="D12"/>
    </sheetView>
  </sheetViews>
  <sheetFormatPr baseColWidth="10" defaultRowHeight="16" x14ac:dyDescent="0.2"/>
  <cols>
    <col min="1" max="1" width="22.5" customWidth="1"/>
    <col min="2" max="2" width="18.5" customWidth="1"/>
    <col min="3" max="3" width="18" customWidth="1"/>
    <col min="4" max="4" width="19.6640625" customWidth="1"/>
    <col min="5" max="5" width="16" customWidth="1"/>
    <col min="6" max="6" width="20" customWidth="1"/>
    <col min="7" max="7" width="40" customWidth="1"/>
  </cols>
  <sheetData>
    <row r="1" spans="1:7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4</v>
      </c>
      <c r="G1" t="s">
        <v>14</v>
      </c>
    </row>
    <row r="2" spans="1:7" x14ac:dyDescent="0.2">
      <c r="A2" t="s">
        <v>0</v>
      </c>
      <c r="B2">
        <f>SLOPE(Returns!B3:B21,Returns!F3:F21)</f>
        <v>1.0699530932004324</v>
      </c>
      <c r="C2">
        <f>SLOPE(Returns!B3:B21,Returns!G3:G21)</f>
        <v>0.90036237984037548</v>
      </c>
      <c r="D2">
        <f>SLOPE(Returns!B3:B21,Returns!H3:H21)</f>
        <v>0.45869338920271829</v>
      </c>
      <c r="E2">
        <f>RSQ(Returns!B3:B21,Returns!F3:F21)</f>
        <v>0.16814644000441953</v>
      </c>
      <c r="F2">
        <v>28.32</v>
      </c>
      <c r="G2" t="s">
        <v>25</v>
      </c>
    </row>
    <row r="3" spans="1:7" x14ac:dyDescent="0.2">
      <c r="A3" t="s">
        <v>1</v>
      </c>
      <c r="B3">
        <f>SLOPE(Returns!B3:B21,Returns!G3:G21)</f>
        <v>0.90036237984037548</v>
      </c>
      <c r="C3">
        <f>SLOPE(Returns!B4:B22,Returns!G4:G22)</f>
        <v>0.85245548068479393</v>
      </c>
      <c r="D3">
        <f>SLOPE(Returns!B4:B22,Returns!H4:H22)</f>
        <v>0.3852423733742783</v>
      </c>
      <c r="E3">
        <f>RSQ(Returns!B4:B22,Returns!F4:F22)</f>
        <v>0.1461502637811275</v>
      </c>
      <c r="F3" s="3">
        <v>29.38</v>
      </c>
      <c r="G3" t="s">
        <v>22</v>
      </c>
    </row>
    <row r="4" spans="1:7" x14ac:dyDescent="0.2">
      <c r="A4" t="s">
        <v>2</v>
      </c>
      <c r="B4">
        <f>SLOPE(Returns!B3:B21,Returns!H3:H21)</f>
        <v>0.45869338920271829</v>
      </c>
      <c r="C4">
        <f>SLOPE(Returns!B5:B23,Returns!G5:G23)</f>
        <v>0.86414368740899117</v>
      </c>
      <c r="D4">
        <f>SLOPE(Returns!B5:B23,Returns!H5:H23)</f>
        <v>0.43262985428441753</v>
      </c>
      <c r="E4">
        <f>RSQ(Returns!B5:B23,Returns!F5:F23)</f>
        <v>0.1606244708155215</v>
      </c>
      <c r="G4" t="s">
        <v>24</v>
      </c>
    </row>
    <row r="5" spans="1:7" x14ac:dyDescent="0.2">
      <c r="A5" t="s">
        <v>3</v>
      </c>
      <c r="B5">
        <f>RSQ(Returns!B3:B21,Returns!F3:F21)</f>
        <v>0.16814644000441953</v>
      </c>
      <c r="C5">
        <f>SLOPE(Returns!B6:B24,Returns!G6:G24)</f>
        <v>0.64070232322321485</v>
      </c>
      <c r="D5">
        <f>SLOPE(Returns!B6:B24,Returns!H6:H24)</f>
        <v>-0.10241078177088918</v>
      </c>
      <c r="E5">
        <f>RSQ(Returns!B6:B24,Returns!F6:F24)</f>
        <v>3.6366809261421759E-2</v>
      </c>
      <c r="F5">
        <v>28.38</v>
      </c>
      <c r="G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</vt:lpstr>
      <vt:lpstr>Returns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Mancuso, Gina Margaret (gmv9yu)</dc:creator>
  <cp:lastModifiedBy>Mancuso, Gina Margaret (gmv9yu)</cp:lastModifiedBy>
  <dcterms:created xsi:type="dcterms:W3CDTF">2026-04-07T01:42:57Z</dcterms:created>
  <dcterms:modified xsi:type="dcterms:W3CDTF">2026-04-08T18:51:14Z</dcterms:modified>
</cp:coreProperties>
</file>